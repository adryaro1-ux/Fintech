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APS" sheetId="1" r:id="rId1"/>
    <sheet name="LABORATORIO" sheetId="2" r:id="rId2"/>
    <sheet name="PERFILES " sheetId="3" r:id="rId3"/>
  </sheets>
  <definedNames>
    <definedName name="_xlnm._FilterDatabase" localSheetId="0" hidden="1">APS!$B$11:$D$11</definedName>
    <definedName name="_xlnm._FilterDatabase" localSheetId="1" hidden="1">LABORATORIO!$B$11:$G$321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9" i="2"/>
  <c r="A9" i="3"/>
</calcChain>
</file>

<file path=xl/sharedStrings.xml><?xml version="1.0" encoding="utf-8"?>
<sst xmlns="http://schemas.openxmlformats.org/spreadsheetml/2006/main" count="1839" uniqueCount="821">
  <si>
    <t>CIRUGIA GENERAL</t>
  </si>
  <si>
    <t>CIRUGIA DE TORAX</t>
  </si>
  <si>
    <t>CARDIOLOGIA</t>
  </si>
  <si>
    <t>CIRUGIA PEDIATRICA</t>
  </si>
  <si>
    <t>DERMATOLOGIA</t>
  </si>
  <si>
    <t>GINECOLOGIA Y OBSTETRICIA</t>
  </si>
  <si>
    <t>GINECOLOGIA Y ONCOLOGO</t>
  </si>
  <si>
    <t>GINECOLOGIA INFANTIL</t>
  </si>
  <si>
    <t>GASTROENTEROLOGIA</t>
  </si>
  <si>
    <t>GASTROENTEROLOGIA INFANTIL</t>
  </si>
  <si>
    <t>ENDOCRINOLOGIA</t>
  </si>
  <si>
    <t>MEDICINA INTERNA</t>
  </si>
  <si>
    <t>OTORRINOLARINGOLOGÍA</t>
  </si>
  <si>
    <t>PEDIATRIA</t>
  </si>
  <si>
    <t>UROLOGÍA</t>
  </si>
  <si>
    <t>TRAUMATOLOGIA</t>
  </si>
  <si>
    <t>CIRUGIA PLASTICA</t>
  </si>
  <si>
    <t>NEUROCIRUGÍA</t>
  </si>
  <si>
    <t>NEUMONOLOGÍA</t>
  </si>
  <si>
    <t>NEFROLOGÍA</t>
  </si>
  <si>
    <t>NUTRICIÓN</t>
  </si>
  <si>
    <t xml:space="preserve">OFTALMOLOGÍA </t>
  </si>
  <si>
    <t>ECO ABDOMINAL</t>
  </si>
  <si>
    <t>ECO ABDMINAL PELVICO</t>
  </si>
  <si>
    <t>ELECTROCARDIOGRAMA</t>
  </si>
  <si>
    <t>PRUEBA DE ESFUERZO</t>
  </si>
  <si>
    <t>ECOCARDIOGRAMA</t>
  </si>
  <si>
    <t>MAPA</t>
  </si>
  <si>
    <t>HOLTER</t>
  </si>
  <si>
    <t>ECO BURBUJA</t>
  </si>
  <si>
    <t>ECO DOBUTAMINA</t>
  </si>
  <si>
    <t xml:space="preserve">FISIOTERAPIA Y REHABILITACION </t>
  </si>
  <si>
    <t xml:space="preserve">*ELECTROMEDIOGRAFIA P/M </t>
  </si>
  <si>
    <t>CONSULTAS MÉDICA</t>
  </si>
  <si>
    <t>ECO PROSTATICO</t>
  </si>
  <si>
    <t>UROLOGIA</t>
  </si>
  <si>
    <t>ECO VESICAL</t>
  </si>
  <si>
    <t>ECO RENAL</t>
  </si>
  <si>
    <t>AUDIOMETRIA (VIA  AEREA Y OSEA)</t>
  </si>
  <si>
    <t>AUDIOMETRÍA INFANTIL</t>
  </si>
  <si>
    <t>AUDIOMETRÍA TONAL</t>
  </si>
  <si>
    <t>AUDIOMETRÍA VOCAL</t>
  </si>
  <si>
    <t xml:space="preserve">CAUTERIZACION CON ELECTROCAUTERIO </t>
  </si>
  <si>
    <t xml:space="preserve">CAUTERIZACION QUIMICA </t>
  </si>
  <si>
    <t>ENDOSCOPIA NASAL RIGIDA</t>
  </si>
  <si>
    <t xml:space="preserve">EXTRACCION CUERPO EXTRAÑO EN CAVIDAD BUCAL </t>
  </si>
  <si>
    <t xml:space="preserve">EXTRACCION CUERPO EXTRAÑO EN GARGANTA </t>
  </si>
  <si>
    <t xml:space="preserve">EXTRACCION CUERPO EXTRAÑO EN NARIZ </t>
  </si>
  <si>
    <t>EXTRACCION CUERPO EXTRAÑO EN OIDO</t>
  </si>
  <si>
    <t>FIBRONASOLARINGOSCOPIA</t>
  </si>
  <si>
    <t>IMPEDANCIOMETRIA</t>
  </si>
  <si>
    <t>LARINGOSCOPIA</t>
  </si>
  <si>
    <t>LIMPIEZA INSTRUMENTAL  Y ASPIRACIÓN DE OÍDOS BAJO OTOSCOPÍA</t>
  </si>
  <si>
    <t xml:space="preserve">EXERESIS DE LESIONES MENORES MAS BIOPSIA  EN CAVIDAD BUCAL, GARGANTA, OIDOS Y NARIZ </t>
  </si>
  <si>
    <t>TAPONAMIENTO NASAL + PACKING</t>
  </si>
  <si>
    <t>TAPONAMIENTO OIDO + PACKING</t>
  </si>
  <si>
    <t>OTORRINOLARINGOLIGIA</t>
  </si>
  <si>
    <t>CONSULTAS</t>
  </si>
  <si>
    <t>ESPECIALIDADES</t>
  </si>
  <si>
    <t>BAREMO:  ATENCIÓN PRIMARIA DE SALUD</t>
  </si>
  <si>
    <t>REFERENCIA $</t>
  </si>
  <si>
    <t>TILT TEST</t>
  </si>
  <si>
    <t>ARTROCENTESIS</t>
  </si>
  <si>
    <t>COLOCACION DE INFILTRACION EN ARTICULACIONES</t>
  </si>
  <si>
    <t>CURA TIPO 1 PEQUEÑA (SEGÚN EXTENSION Y UBICACIÓN  ANATOMICA)</t>
  </si>
  <si>
    <t>CURA TIPO 2 MEDIANA  (SEGÚN EXTENSION Y UBICACIÓN  ANATOMICA)</t>
  </si>
  <si>
    <t>CURA TIPO 3  GRANDE    (SEGÚN EXTENSION Y UBICACIÓN  ANATOMICA)</t>
  </si>
  <si>
    <t>INFILTRACIÓN  POR US 1 SESION</t>
  </si>
  <si>
    <t>INFILTRACIÓN  1 SESION</t>
  </si>
  <si>
    <t xml:space="preserve">TRAUMATOLOGIA </t>
  </si>
  <si>
    <t>ECO TRANSVAGINAL / PÉLVICO</t>
  </si>
  <si>
    <t>ECOSONOGRAMA DOPPLER MATERNO FETAL</t>
  </si>
  <si>
    <t xml:space="preserve">ECO ABDOMINAL </t>
  </si>
  <si>
    <t>GINECOLOGIA / OBSTETRICIA</t>
  </si>
  <si>
    <t xml:space="preserve">NEUROCIRUGIA </t>
  </si>
  <si>
    <t xml:space="preserve">BLOQUEO DE NERVIOOS PERIFERICOS </t>
  </si>
  <si>
    <t>PUNSIÓN LUMBAR</t>
  </si>
  <si>
    <t>30001</t>
  </si>
  <si>
    <t>UROCULTIVO</t>
  </si>
  <si>
    <t>BACTERIOLOGIA</t>
  </si>
  <si>
    <t>30002</t>
  </si>
  <si>
    <t>UROCULTIVO ORINA DE PRIMER CH</t>
  </si>
  <si>
    <t>30003</t>
  </si>
  <si>
    <t>UROCULTIVO PMP (POSTMASAJE PR</t>
  </si>
  <si>
    <t>30005</t>
  </si>
  <si>
    <t>ANTIC- ANTI-TIROIDEOS *</t>
  </si>
  <si>
    <t>MARCADORES TIROIDEOS</t>
  </si>
  <si>
    <t>30006</t>
  </si>
  <si>
    <t>BILIRRUBINA TOTAL Y FRACCIONA</t>
  </si>
  <si>
    <t>BIOQUIMICA</t>
  </si>
  <si>
    <t>30007</t>
  </si>
  <si>
    <t>COPROCULTIVO</t>
  </si>
  <si>
    <t>30008</t>
  </si>
  <si>
    <t>CULTIVO DE ANAEROBIOS</t>
  </si>
  <si>
    <t>30009</t>
  </si>
  <si>
    <t>CULTIVO DE CATETER</t>
  </si>
  <si>
    <t>30010</t>
  </si>
  <si>
    <t>CULTIVO DE ESPUTO</t>
  </si>
  <si>
    <t>30011</t>
  </si>
  <si>
    <t>CULTIVO DE EXUDADOS</t>
  </si>
  <si>
    <t>30012</t>
  </si>
  <si>
    <t>CULTIVO DE HONGOS</t>
  </si>
  <si>
    <t>30013</t>
  </si>
  <si>
    <t>CULTIVO DE LAVADO BRONQUIAL</t>
  </si>
  <si>
    <t>30014</t>
  </si>
  <si>
    <t>CULTIVO DE LIQ. CEFALORAQUIDE</t>
  </si>
  <si>
    <t>30015</t>
  </si>
  <si>
    <t>CULTIVO DE LIQ. PERITONEAL</t>
  </si>
  <si>
    <t>30016</t>
  </si>
  <si>
    <t>CULTIVO DE LIQ. PLEURAL</t>
  </si>
  <si>
    <t>30017</t>
  </si>
  <si>
    <t>CULTIVO DE LIQ. SINOVIAL</t>
  </si>
  <si>
    <t>30018</t>
  </si>
  <si>
    <t>CULTIVO DE LIQUIDO</t>
  </si>
  <si>
    <t>30019</t>
  </si>
  <si>
    <t>CULTIVO DE MEDULA MIELOCULTIV</t>
  </si>
  <si>
    <t>30020</t>
  </si>
  <si>
    <t>CULTIVO DE PUNTA DE CATETER</t>
  </si>
  <si>
    <t>30021</t>
  </si>
  <si>
    <t>CULTIVO DE SEC.BRONQUIAL/ENDO</t>
  </si>
  <si>
    <t>30023</t>
  </si>
  <si>
    <t>CULTIVO DE SECRECION NASAL</t>
  </si>
  <si>
    <t>30024</t>
  </si>
  <si>
    <t>CULTIVO DE SECRECION URETRAL</t>
  </si>
  <si>
    <t>30025</t>
  </si>
  <si>
    <t>CULTIVO DE SECRECION VAGINAL</t>
  </si>
  <si>
    <t>30026</t>
  </si>
  <si>
    <t>CULTIVO DE SEMEN</t>
  </si>
  <si>
    <t>30027</t>
  </si>
  <si>
    <t>CULTIVO DE TEJIDO</t>
  </si>
  <si>
    <t>30028</t>
  </si>
  <si>
    <t>CULTIVO FARINGEO</t>
  </si>
  <si>
    <t>30029</t>
  </si>
  <si>
    <t>CULTIVO SEC. CONJUNTIVAL</t>
  </si>
  <si>
    <t>30030</t>
  </si>
  <si>
    <t>CULTIVO SECRECION ULCERA O ES</t>
  </si>
  <si>
    <t>30031</t>
  </si>
  <si>
    <t>CULTIVOS DE BK</t>
  </si>
  <si>
    <t>30032</t>
  </si>
  <si>
    <t>CULTIVO DE SECRECION</t>
  </si>
  <si>
    <t>30033</t>
  </si>
  <si>
    <t>DEPURACION DE CREATININA</t>
  </si>
  <si>
    <t>30035</t>
  </si>
  <si>
    <t>ELECTROLITOS EN ORINA DE 24 H</t>
  </si>
  <si>
    <t>POTENCIOMETROS</t>
  </si>
  <si>
    <t>30036</t>
  </si>
  <si>
    <t>ELECTROLITOS EN ORINA PARCIAL</t>
  </si>
  <si>
    <t>30037</t>
  </si>
  <si>
    <t>ELECTROLITOS EN SUERO</t>
  </si>
  <si>
    <t>30038</t>
  </si>
  <si>
    <t>KIT TDM LAB Y ENVIO BCO DE SA</t>
  </si>
  <si>
    <t>TOMA DE MUESTRAS</t>
  </si>
  <si>
    <t>30039</t>
  </si>
  <si>
    <t>KIT TDM LAB Y ENVIO BIOL MOLE</t>
  </si>
  <si>
    <t>30040</t>
  </si>
  <si>
    <t>30041</t>
  </si>
  <si>
    <t>30042</t>
  </si>
  <si>
    <t>30043</t>
  </si>
  <si>
    <t>KIT TDM PLASMA RICO PLAQUETAS</t>
  </si>
  <si>
    <t>30044</t>
  </si>
  <si>
    <t>KIT TDM LAB Y ENVIO TOLER.2</t>
  </si>
  <si>
    <t>30045</t>
  </si>
  <si>
    <t>KIT TDM LAB Y ENVIO TOLER.3</t>
  </si>
  <si>
    <t>30046</t>
  </si>
  <si>
    <t>KIT TDM LAB Y ENVIO TOLER.4</t>
  </si>
  <si>
    <t>30047</t>
  </si>
  <si>
    <t>KIT TDM LAB Y ENVIO TOLER.5</t>
  </si>
  <si>
    <t>30048</t>
  </si>
  <si>
    <t>KIT TDM LAB Y ENVIO TOLER.6</t>
  </si>
  <si>
    <t>30050</t>
  </si>
  <si>
    <t>PERFIL ALTO RIESGO ADULTO</t>
  </si>
  <si>
    <t>PERFILES</t>
  </si>
  <si>
    <t>30051</t>
  </si>
  <si>
    <t>PERFIL ALTO RIESGO PEDIATR</t>
  </si>
  <si>
    <t>30052</t>
  </si>
  <si>
    <t>PERFIL ANDROGENICO</t>
  </si>
  <si>
    <t>30053</t>
  </si>
  <si>
    <t>PERFIL ANEMIA</t>
  </si>
  <si>
    <t>30057</t>
  </si>
  <si>
    <t>30058</t>
  </si>
  <si>
    <t>PERFIL COAGULACION SANATRIX</t>
  </si>
  <si>
    <t>30059</t>
  </si>
  <si>
    <t>PERFIL DENGUE</t>
  </si>
  <si>
    <t>30060</t>
  </si>
  <si>
    <t>PERFIL DIARREA ADULTOS</t>
  </si>
  <si>
    <t>30061</t>
  </si>
  <si>
    <t>PERFIL DIARREA PEDIATRICO</t>
  </si>
  <si>
    <t>30064</t>
  </si>
  <si>
    <t>PERFIL EMERGENCIA ADULTO</t>
  </si>
  <si>
    <t>30066</t>
  </si>
  <si>
    <t>PERFIL EMERGENCIA PEDIATRICO</t>
  </si>
  <si>
    <t>30068</t>
  </si>
  <si>
    <t>PERFIL EPSTEIN-BARR VIRUS</t>
  </si>
  <si>
    <t>30071</t>
  </si>
  <si>
    <t>PERFIL GASES ARTERIALES</t>
  </si>
  <si>
    <t>30072</t>
  </si>
  <si>
    <t>PERFIL GASES VENOSOS</t>
  </si>
  <si>
    <t>30073</t>
  </si>
  <si>
    <t>PERFIL GASES VENOSOS POSTP</t>
  </si>
  <si>
    <t>30074</t>
  </si>
  <si>
    <t>HEMATOLOGICOS</t>
  </si>
  <si>
    <t>30075</t>
  </si>
  <si>
    <t>PERFIL HEPATICO</t>
  </si>
  <si>
    <t>30078</t>
  </si>
  <si>
    <t>PERFIL HORMONAL FEMENINO</t>
  </si>
  <si>
    <t>30079</t>
  </si>
  <si>
    <t>PERFIL HORMONAL MASCULINO</t>
  </si>
  <si>
    <t>30080</t>
  </si>
  <si>
    <t>PERFIL I AISLAMIENTO UTI A</t>
  </si>
  <si>
    <t>30082</t>
  </si>
  <si>
    <t>PERFIL INFECCION ADULTOS</t>
  </si>
  <si>
    <t>30083</t>
  </si>
  <si>
    <t>PERFIL INFECCION PEDIATRIC</t>
  </si>
  <si>
    <t>30084</t>
  </si>
  <si>
    <t>PERFIL ISQUEMICO</t>
  </si>
  <si>
    <t>30088</t>
  </si>
  <si>
    <t>PERFIL LIPIDICO</t>
  </si>
  <si>
    <t>30089</t>
  </si>
  <si>
    <t>PERFIL LITIASICO</t>
  </si>
  <si>
    <t>30093</t>
  </si>
  <si>
    <t>PERFIL METABOLISMO DEL HIERRO</t>
  </si>
  <si>
    <t>30096</t>
  </si>
  <si>
    <t>PERFIL MYCOPLASMA PNEUMONI</t>
  </si>
  <si>
    <t>30098</t>
  </si>
  <si>
    <t>PERFIL POST OPERATORIO</t>
  </si>
  <si>
    <t>30585</t>
  </si>
  <si>
    <t>30584</t>
  </si>
  <si>
    <t>30110</t>
  </si>
  <si>
    <t>PERFIL PRENATAL SANATRIX I</t>
  </si>
  <si>
    <t>30113</t>
  </si>
  <si>
    <t>PERFIL PROSTATICO</t>
  </si>
  <si>
    <t>30114</t>
  </si>
  <si>
    <t>PERFIL PROSTATICO BACTERIANO</t>
  </si>
  <si>
    <t>30115</t>
  </si>
  <si>
    <t>30116</t>
  </si>
  <si>
    <t>PERFIL QUIRURGICO PEDIATRI</t>
  </si>
  <si>
    <t>30117</t>
  </si>
  <si>
    <t>PERFIL RECIEN NACIDO</t>
  </si>
  <si>
    <t>30118</t>
  </si>
  <si>
    <t>PERFIL RENAL</t>
  </si>
  <si>
    <t>30120</t>
  </si>
  <si>
    <t>PERFIL REUMATICO</t>
  </si>
  <si>
    <t>30121</t>
  </si>
  <si>
    <t>PERFIL SANATRIX I</t>
  </si>
  <si>
    <t>30123</t>
  </si>
  <si>
    <t>PERFIL SARVS</t>
  </si>
  <si>
    <t>30124</t>
  </si>
  <si>
    <t>PERFIL TIROIDEO I</t>
  </si>
  <si>
    <t>30127</t>
  </si>
  <si>
    <t>ORINA Y HECES</t>
  </si>
  <si>
    <t>30129</t>
  </si>
  <si>
    <t>PERFIL VIRAL TORSCH</t>
  </si>
  <si>
    <t>30130</t>
  </si>
  <si>
    <t>PROTEINAS TOTALES Y FRACCIONA</t>
  </si>
  <si>
    <t>30131</t>
  </si>
  <si>
    <t>RELACION ACIDO URICO/CREATINI</t>
  </si>
  <si>
    <t>30133</t>
  </si>
  <si>
    <t>RELACION CALCIO/CREATININA</t>
  </si>
  <si>
    <t>30134</t>
  </si>
  <si>
    <t>RELACION COLESTEROL T/COLESTE</t>
  </si>
  <si>
    <t>30135</t>
  </si>
  <si>
    <t>RELACION PROTEINA/CREATININA</t>
  </si>
  <si>
    <t>30139</t>
  </si>
  <si>
    <t>EXTRACCION GASES ART/VEN</t>
  </si>
  <si>
    <t>30150</t>
  </si>
  <si>
    <t>INSULINA EN SANGRE -QUIMIOLUMI</t>
  </si>
  <si>
    <t>MARCADORES HORMONALES</t>
  </si>
  <si>
    <t>30166</t>
  </si>
  <si>
    <t>ACIDO FOLICO (FOLATOS) *</t>
  </si>
  <si>
    <t>ESPECIALES</t>
  </si>
  <si>
    <t>30178</t>
  </si>
  <si>
    <t>ANTIESTREPTOLISINA (ASTO CUANTITATIVO)*</t>
  </si>
  <si>
    <t>30179</t>
  </si>
  <si>
    <t>ANTIGENOS FEBRILES</t>
  </si>
  <si>
    <t>SEROLOGIAS</t>
  </si>
  <si>
    <t>30180</t>
  </si>
  <si>
    <t>CA 15-3</t>
  </si>
  <si>
    <t>MARCADORES TUMORALES</t>
  </si>
  <si>
    <t>30181</t>
  </si>
  <si>
    <t>CA 19-9</t>
  </si>
  <si>
    <t>30187</t>
  </si>
  <si>
    <t>CORTISOL A.M. *</t>
  </si>
  <si>
    <t>30188</t>
  </si>
  <si>
    <t>CORTISOL EN ORINA 24 HORAS *</t>
  </si>
  <si>
    <t>30189</t>
  </si>
  <si>
    <t>CORTISOL EN ORINA PARCIAL *</t>
  </si>
  <si>
    <t>30190</t>
  </si>
  <si>
    <t>CORTISOL P.M. *</t>
  </si>
  <si>
    <t>30196</t>
  </si>
  <si>
    <t>INMUNOGLOBULINA E</t>
  </si>
  <si>
    <t>30205</t>
  </si>
  <si>
    <t>ALFAFETOPROTEINA (AFP) *</t>
  </si>
  <si>
    <t>30206</t>
  </si>
  <si>
    <t>ACIDO URICO EN ORINA 24HRS</t>
  </si>
  <si>
    <t>BIOQUIMICA URINARIA</t>
  </si>
  <si>
    <t>30207</t>
  </si>
  <si>
    <t>ACIDO URICO ORINA PARCIAL</t>
  </si>
  <si>
    <t>30208</t>
  </si>
  <si>
    <t>ACIDO URICO EN SUERO</t>
  </si>
  <si>
    <t>30210</t>
  </si>
  <si>
    <t>ALBUMINA EN SANGRE</t>
  </si>
  <si>
    <t>30211</t>
  </si>
  <si>
    <t>ALBUMINA ORINA PARCIAL</t>
  </si>
  <si>
    <t>30212</t>
  </si>
  <si>
    <t>AMILASA EN LIQUIDO</t>
  </si>
  <si>
    <t>ENZIMATICOS</t>
  </si>
  <si>
    <t>30213</t>
  </si>
  <si>
    <t>AMILASA EN ORINA 24H</t>
  </si>
  <si>
    <t>30214</t>
  </si>
  <si>
    <t>AMILASA EN ORINA PARCIAL</t>
  </si>
  <si>
    <t>30215</t>
  </si>
  <si>
    <t>AMILASA EN SANGRE</t>
  </si>
  <si>
    <t>30218</t>
  </si>
  <si>
    <t>ANTI-MICROSOMALES-TPO -QUIMIOL</t>
  </si>
  <si>
    <t>30219</t>
  </si>
  <si>
    <t>ANTI-TIROGLOBULINICOS-TG -QUIM</t>
  </si>
  <si>
    <t>30222</t>
  </si>
  <si>
    <t>BILIRRUBINA DIRECTA</t>
  </si>
  <si>
    <t>30223</t>
  </si>
  <si>
    <t>BILIRRUBINA INDIRECTA -FORMULA</t>
  </si>
  <si>
    <t>30224</t>
  </si>
  <si>
    <t>BILIRRUBINA TOTAL</t>
  </si>
  <si>
    <t>30225</t>
  </si>
  <si>
    <t>BLASTOSPORAS EN ORINA</t>
  </si>
  <si>
    <t>30230</t>
  </si>
  <si>
    <t>CEA -ANTIGENO CARCINOEMBRIONAR</t>
  </si>
  <si>
    <t>30231</t>
  </si>
  <si>
    <t>CK - CREATINKINASA</t>
  </si>
  <si>
    <t>MARCADORES CARDIACOS</t>
  </si>
  <si>
    <t>30233</t>
  </si>
  <si>
    <t>CKMB - CREATINAQUINASA MB</t>
  </si>
  <si>
    <t>30234</t>
  </si>
  <si>
    <t>CA 125 -QUIMIOLUMINICENCIA</t>
  </si>
  <si>
    <t>30235</t>
  </si>
  <si>
    <t>CALCIO EN ORINA 12 H</t>
  </si>
  <si>
    <t>30236</t>
  </si>
  <si>
    <t>CALCIO EN ORINA DE 24 HORAS</t>
  </si>
  <si>
    <t>30237</t>
  </si>
  <si>
    <t>CALCIO EN ORINA PARCIAL</t>
  </si>
  <si>
    <t>30238</t>
  </si>
  <si>
    <t>CALCIO EN SUERO</t>
  </si>
  <si>
    <t>30243</t>
  </si>
  <si>
    <t>CITOQUIMICO DE LIQUIDO PLEURA</t>
  </si>
  <si>
    <t>30244</t>
  </si>
  <si>
    <t>CITOQUIMICO DE LIQUIDO SINOVI</t>
  </si>
  <si>
    <t>30245</t>
  </si>
  <si>
    <t>CITOQUIMICO DE LIQ. ASCITICO</t>
  </si>
  <si>
    <t>30246</t>
  </si>
  <si>
    <t>CLORO EN SUERO</t>
  </si>
  <si>
    <t>30247</t>
  </si>
  <si>
    <t>COCAINA EN ORINA</t>
  </si>
  <si>
    <t>30249</t>
  </si>
  <si>
    <t>COLESTEROL HDL</t>
  </si>
  <si>
    <t>30250</t>
  </si>
  <si>
    <t>COLESTEROL LDL (formula)</t>
  </si>
  <si>
    <t>30251</t>
  </si>
  <si>
    <t>COLESTEROL TOTAL</t>
  </si>
  <si>
    <t>30252</t>
  </si>
  <si>
    <t>COLESTEROL VLDL (formula)</t>
  </si>
  <si>
    <t>30253</t>
  </si>
  <si>
    <t>COLORACION DE CRESIL</t>
  </si>
  <si>
    <t>30254</t>
  </si>
  <si>
    <t>COLORACION DE GIEMSA</t>
  </si>
  <si>
    <t>30255</t>
  </si>
  <si>
    <t>COLORACION DE GRAM</t>
  </si>
  <si>
    <t>30256</t>
  </si>
  <si>
    <t>COLORACION DE HONGOS TINTA CHINA *</t>
  </si>
  <si>
    <t>30258</t>
  </si>
  <si>
    <t>COLORACION DE ZIEHL-NEELSEN</t>
  </si>
  <si>
    <t>30259</t>
  </si>
  <si>
    <t>CONTAJE DE LEUCOCITOS EN HECE</t>
  </si>
  <si>
    <t>30260</t>
  </si>
  <si>
    <t>CONTAJE DE LEUCOCITOS EN SANG</t>
  </si>
  <si>
    <t>30261</t>
  </si>
  <si>
    <t>CREATININA EN LIQUIDO</t>
  </si>
  <si>
    <t>30262</t>
  </si>
  <si>
    <t>CREATININA EN ORINA</t>
  </si>
  <si>
    <t>30263</t>
  </si>
  <si>
    <t>CREATININA EN ORINA 12H</t>
  </si>
  <si>
    <t>30264</t>
  </si>
  <si>
    <t>CREATININA EN ORINA DE 24 HOR</t>
  </si>
  <si>
    <t>30265</t>
  </si>
  <si>
    <t>CREATININA EN ORINA PARCIAL</t>
  </si>
  <si>
    <t>30266</t>
  </si>
  <si>
    <t>CREATININA EN SUERO</t>
  </si>
  <si>
    <t>30267</t>
  </si>
  <si>
    <t>CUERPOS CETONICOS EN ORINA</t>
  </si>
  <si>
    <t>30268</t>
  </si>
  <si>
    <t>CUERPOS CETONICOS EN SUERO</t>
  </si>
  <si>
    <t>30269</t>
  </si>
  <si>
    <t>CULTURETE PARA SECRECIONES</t>
  </si>
  <si>
    <t>30270</t>
  </si>
  <si>
    <t>DENGUE IgG *</t>
  </si>
  <si>
    <t>30271</t>
  </si>
  <si>
    <t>DENGUE IgM *</t>
  </si>
  <si>
    <t>30274</t>
  </si>
  <si>
    <t>DIMERO D</t>
  </si>
  <si>
    <t>30279</t>
  </si>
  <si>
    <t>DROG.TERAPUETICA- EPAMIN (FENITOINA) *</t>
  </si>
  <si>
    <t>30282</t>
  </si>
  <si>
    <t>EOSINOFILOS EN MOCO NASAL</t>
  </si>
  <si>
    <t>30285</t>
  </si>
  <si>
    <t>ESPERMATOGRAMA (TEST)</t>
  </si>
  <si>
    <t>30286</t>
  </si>
  <si>
    <t>ESTRADIOL -QUIMIOLUMINICENCIA</t>
  </si>
  <si>
    <t>30287</t>
  </si>
  <si>
    <t>FSH -QUIMIOLUMINICENCIA</t>
  </si>
  <si>
    <t>30288</t>
  </si>
  <si>
    <t>FERRITINA</t>
  </si>
  <si>
    <t>30289</t>
  </si>
  <si>
    <t>FIBRINOGENO</t>
  </si>
  <si>
    <t>COAGULACION</t>
  </si>
  <si>
    <t>30290</t>
  </si>
  <si>
    <t>FORMULA Y CONTAJE DE LEUCOCIT</t>
  </si>
  <si>
    <t>30291</t>
  </si>
  <si>
    <t>FORMULA Y CONTAJE LEUCOCITOS LIQUIDO</t>
  </si>
  <si>
    <t>30292</t>
  </si>
  <si>
    <t>FOSFATASA ALCALINA</t>
  </si>
  <si>
    <t>30293</t>
  </si>
  <si>
    <t>FOSFORO  EN ORINA  24 HORAS</t>
  </si>
  <si>
    <t>30294</t>
  </si>
  <si>
    <t>FOSFORO EN ORINA 12H</t>
  </si>
  <si>
    <t>30295</t>
  </si>
  <si>
    <t>FOSFORO EN ORINA PARCIAL</t>
  </si>
  <si>
    <t>30296</t>
  </si>
  <si>
    <t>FOSFORO EN SANGRE</t>
  </si>
  <si>
    <t>30297</t>
  </si>
  <si>
    <t>FROTIS DE SANGRE PERIFERICA</t>
  </si>
  <si>
    <t>30298</t>
  </si>
  <si>
    <t>FROTIS GUARDAR</t>
  </si>
  <si>
    <t>30299</t>
  </si>
  <si>
    <t>GGT</t>
  </si>
  <si>
    <t>30300</t>
  </si>
  <si>
    <t>GLICEMIA 120 MINUTOS</t>
  </si>
  <si>
    <t>30301</t>
  </si>
  <si>
    <t>GLICEMIA 150 MINUTOS</t>
  </si>
  <si>
    <t>30302</t>
  </si>
  <si>
    <t>GLICEMIA 180 MINUTOS</t>
  </si>
  <si>
    <t>30304</t>
  </si>
  <si>
    <t>GLICEMIA 30 MINUTOS</t>
  </si>
  <si>
    <t>30306</t>
  </si>
  <si>
    <t>GLICEMIA 60 MINUTOS</t>
  </si>
  <si>
    <t>30307</t>
  </si>
  <si>
    <t>GLICEMIA 60 MINUTOS C/CARGA 5</t>
  </si>
  <si>
    <t>30308</t>
  </si>
  <si>
    <t>GLICEMIA 90 MINUTOS</t>
  </si>
  <si>
    <t>30309</t>
  </si>
  <si>
    <t>GLICEMIA EN ORINA (GLUCOSURIA</t>
  </si>
  <si>
    <t>30310</t>
  </si>
  <si>
    <t>30311</t>
  </si>
  <si>
    <t>GLICEMIA POST-CARGA</t>
  </si>
  <si>
    <t>30312</t>
  </si>
  <si>
    <t>GLICEMIA POST-PRANDIAL 1 HORA</t>
  </si>
  <si>
    <t>30313</t>
  </si>
  <si>
    <t>GLICEMIA POST-PRANDIAL 2 HORA</t>
  </si>
  <si>
    <t>30314</t>
  </si>
  <si>
    <t>GLICOLAB (SOLUCION GLUCOSADA)</t>
  </si>
  <si>
    <t>30315</t>
  </si>
  <si>
    <t>GOTA GRUESA</t>
  </si>
  <si>
    <t>30316</t>
  </si>
  <si>
    <t>GRASAS EN HECES (SUDAN III)</t>
  </si>
  <si>
    <t>30317</t>
  </si>
  <si>
    <t>HIV CONFIRMATORIO (QUIMIOLU</t>
  </si>
  <si>
    <t>INMUNOQUIMICA</t>
  </si>
  <si>
    <t>30318</t>
  </si>
  <si>
    <t>HIV I/ II  TEST</t>
  </si>
  <si>
    <t>30321</t>
  </si>
  <si>
    <t>HCG CUALITATIVA-PRUEBA DE EMBARAZO</t>
  </si>
  <si>
    <t>30322</t>
  </si>
  <si>
    <t>HELYCOBACTER PYLORI EN HECES</t>
  </si>
  <si>
    <t>30323</t>
  </si>
  <si>
    <t>HEMATOCRITOS CAPILARES</t>
  </si>
  <si>
    <t>30325</t>
  </si>
  <si>
    <t>HEMOCULTIVO (FRASCO)</t>
  </si>
  <si>
    <t>30326</t>
  </si>
  <si>
    <t>HEMOGLOBINA</t>
  </si>
  <si>
    <t>30327</t>
  </si>
  <si>
    <t>HEMOGLOBINA Y HEMATOCRITO</t>
  </si>
  <si>
    <t>30328</t>
  </si>
  <si>
    <t>HEMOGLOBINA Y HEMATOCRITO LIQ</t>
  </si>
  <si>
    <t>30329</t>
  </si>
  <si>
    <t>HEPATITIS A IGM (Quimioluminicencia) *</t>
  </si>
  <si>
    <t>30335</t>
  </si>
  <si>
    <t>HEPATITIS B- CORE TOTAL</t>
  </si>
  <si>
    <t>30336</t>
  </si>
  <si>
    <t>HEPATITIS C (Quimioluminiciencia)</t>
  </si>
  <si>
    <t>30338</t>
  </si>
  <si>
    <t>HIERRO CAP. DE SATURACION (f)</t>
  </si>
  <si>
    <t>30339</t>
  </si>
  <si>
    <t>HIERRO SERICO*</t>
  </si>
  <si>
    <t>30348</t>
  </si>
  <si>
    <t>IMPRESION DE RESULTADOS LABORATORIO</t>
  </si>
  <si>
    <t>30349</t>
  </si>
  <si>
    <t>INFLUENZA A/B ANTIGENO</t>
  </si>
  <si>
    <t>30350</t>
  </si>
  <si>
    <t>INSULINA 120 MINUTOS *</t>
  </si>
  <si>
    <t>30351</t>
  </si>
  <si>
    <t>INSULINA 150 MINUTOS *</t>
  </si>
  <si>
    <t>30352</t>
  </si>
  <si>
    <t>INSULINA 180 MINUTOS *</t>
  </si>
  <si>
    <t>30354</t>
  </si>
  <si>
    <t>INSULINA 30 MINUTOS *</t>
  </si>
  <si>
    <t>30356</t>
  </si>
  <si>
    <t>INSULINA 60 MINUTOS *</t>
  </si>
  <si>
    <t>30357</t>
  </si>
  <si>
    <t>INSULINA 90 MINUTOS *</t>
  </si>
  <si>
    <t>30358</t>
  </si>
  <si>
    <t>INSULINA BASAL</t>
  </si>
  <si>
    <t>30359</t>
  </si>
  <si>
    <t>INSULINA POST-CARGA *</t>
  </si>
  <si>
    <t>30360</t>
  </si>
  <si>
    <t>INSULINA POST-PRANDIAL 1 HORA</t>
  </si>
  <si>
    <t>30361</t>
  </si>
  <si>
    <t>INSULINA POST-PRANDIAL 2 HORA</t>
  </si>
  <si>
    <t>30368</t>
  </si>
  <si>
    <t>LDH (DEHIDROGENASA LACTICA)</t>
  </si>
  <si>
    <t>30369</t>
  </si>
  <si>
    <t>LIPASA EN SANGRE</t>
  </si>
  <si>
    <t>30370</t>
  </si>
  <si>
    <t>LIPIDOS TOTALES (formula)</t>
  </si>
  <si>
    <t>30371</t>
  </si>
  <si>
    <t>MAGNESIO  EN ORINA  24 HORAS</t>
  </si>
  <si>
    <t>30372</t>
  </si>
  <si>
    <t>MAGNESIO EN SUERO</t>
  </si>
  <si>
    <t>30373</t>
  </si>
  <si>
    <t>MARIHUANA EN ORINA</t>
  </si>
  <si>
    <t>30375</t>
  </si>
  <si>
    <t>MATERIAL DESCARTABLE HECES</t>
  </si>
  <si>
    <t>30376</t>
  </si>
  <si>
    <t>MATERIAL DESCARTABLE ORINA</t>
  </si>
  <si>
    <t>30377</t>
  </si>
  <si>
    <t>MATERIAL DESCARTABLE ORINA 24 HORAS</t>
  </si>
  <si>
    <t>30378</t>
  </si>
  <si>
    <t>MICROALBUMINURIA EN ORINA *</t>
  </si>
  <si>
    <t>30379</t>
  </si>
  <si>
    <t>MIOGLOBINA EN ORINA</t>
  </si>
  <si>
    <t>30380</t>
  </si>
  <si>
    <t>MIOGLOBINA EN SUERO</t>
  </si>
  <si>
    <t>30382</t>
  </si>
  <si>
    <t>MORFOLOGIA DE GLOBULOS ROJOS</t>
  </si>
  <si>
    <t>30383</t>
  </si>
  <si>
    <t>MYCOPLASMA PNEUMONIAE IGG*</t>
  </si>
  <si>
    <t>30384</t>
  </si>
  <si>
    <t>MYCOPLASMA PNEUMONIAE IGM</t>
  </si>
  <si>
    <t>30385</t>
  </si>
  <si>
    <t>PH EN HECES</t>
  </si>
  <si>
    <t>30386</t>
  </si>
  <si>
    <t>PH EN ORINA</t>
  </si>
  <si>
    <t>30387</t>
  </si>
  <si>
    <t>PH LIQUIDOS BIOLOGICOS</t>
  </si>
  <si>
    <t>30388</t>
  </si>
  <si>
    <t>POTASIO EN SANGRE</t>
  </si>
  <si>
    <t>30389</t>
  </si>
  <si>
    <t>PROCALCITONINA</t>
  </si>
  <si>
    <t>30390</t>
  </si>
  <si>
    <t>PROGESTERONA -QUIMIOLUMINI</t>
  </si>
  <si>
    <t>30391</t>
  </si>
  <si>
    <t>PROLACTINA -QUIMIOLUMINICENC</t>
  </si>
  <si>
    <t>30392</t>
  </si>
  <si>
    <t>PROTEINA C REACTIVA</t>
  </si>
  <si>
    <t>30393</t>
  </si>
  <si>
    <t>PROTEINAS EN ORINA PARCIAL</t>
  </si>
  <si>
    <t>30394</t>
  </si>
  <si>
    <t>PROTEINAS TOTALES</t>
  </si>
  <si>
    <t>30395</t>
  </si>
  <si>
    <t>PROTEINURIA EN ORINA DE 24 HO</t>
  </si>
  <si>
    <t>30396</t>
  </si>
  <si>
    <t>PSA LIBRE -QUIMIOLUMINISCENC</t>
  </si>
  <si>
    <t>30397</t>
  </si>
  <si>
    <t>PSA TOTAL -QUIMIOLUMINISCENC</t>
  </si>
  <si>
    <t>30398</t>
  </si>
  <si>
    <t>PT ANTICOAGULADO</t>
  </si>
  <si>
    <t>30399</t>
  </si>
  <si>
    <t>PT TIEMPO DE PROTROMBINA</t>
  </si>
  <si>
    <t>30400</t>
  </si>
  <si>
    <t>PTH-HORMONA PARATIROIDEA INTACTA *</t>
  </si>
  <si>
    <t>30401</t>
  </si>
  <si>
    <t>PTT TIEMPO  DE TROMBOPLASTINA</t>
  </si>
  <si>
    <t>30403</t>
  </si>
  <si>
    <t>RECUENTO MINUTADO</t>
  </si>
  <si>
    <t>30404</t>
  </si>
  <si>
    <t>RETICULOCITOS EN SANGRE</t>
  </si>
  <si>
    <t>30405</t>
  </si>
  <si>
    <t>RETRACCION DEL COAGULO</t>
  </si>
  <si>
    <t>30406</t>
  </si>
  <si>
    <t>ROTAVIRUS/ADENOVIRUS HECES</t>
  </si>
  <si>
    <t>30409</t>
  </si>
  <si>
    <t>SANGRE OCULTA EN HECES</t>
  </si>
  <si>
    <t>30410</t>
  </si>
  <si>
    <t>SEDIMENTACION URINARIA</t>
  </si>
  <si>
    <t>30411</t>
  </si>
  <si>
    <t>SODIO EN SANGRE</t>
  </si>
  <si>
    <t>30412</t>
  </si>
  <si>
    <t>TSH  -QUIMIOLUMINICENCIA</t>
  </si>
  <si>
    <t>30413</t>
  </si>
  <si>
    <t>T3 LIBRE -QUIMIOLUMINICENCIA</t>
  </si>
  <si>
    <t>30414</t>
  </si>
  <si>
    <t>T3 TOTAL</t>
  </si>
  <si>
    <t>30415</t>
  </si>
  <si>
    <t>T4 LIBRE -QUIMIOLUMINICENCIA</t>
  </si>
  <si>
    <t>30416</t>
  </si>
  <si>
    <t>T4 LIBRE NEONATAL</t>
  </si>
  <si>
    <t>30417</t>
  </si>
  <si>
    <t>T4 TOTAL</t>
  </si>
  <si>
    <t>30420</t>
  </si>
  <si>
    <t>TESTOSTERONA TOTAL</t>
  </si>
  <si>
    <t>30421</t>
  </si>
  <si>
    <t>TIEMPO DE COAGULACION</t>
  </si>
  <si>
    <t>30422</t>
  </si>
  <si>
    <t>TIEMPO DE SANGRIA</t>
  </si>
  <si>
    <t>30426</t>
  </si>
  <si>
    <t>TRANSAMINASA OXALACETICA (AST)</t>
  </si>
  <si>
    <t>30427</t>
  </si>
  <si>
    <t>TRANSAMINASA PIRUVICA (ALT)</t>
  </si>
  <si>
    <t>30428</t>
  </si>
  <si>
    <t>TRIGLICERIDOS</t>
  </si>
  <si>
    <t>30429</t>
  </si>
  <si>
    <t>TRIGLICERIDOS POST PRANDIAL</t>
  </si>
  <si>
    <t>30437</t>
  </si>
  <si>
    <t>VDRL TEST</t>
  </si>
  <si>
    <t>30439</t>
  </si>
  <si>
    <t>VIRUS SINCITIAL RESP. - NASAL</t>
  </si>
  <si>
    <t>30440</t>
  </si>
  <si>
    <t>VITAMINA B12 *</t>
  </si>
  <si>
    <t>30442</t>
  </si>
  <si>
    <t>VITAMINA D TOTAL 25 OH</t>
  </si>
  <si>
    <t>30443</t>
  </si>
  <si>
    <t>VSG -VELOCIDAD DE SED. GLOBULA</t>
  </si>
  <si>
    <t>30445</t>
  </si>
  <si>
    <t>CULTIVO DE AMBIENTES</t>
  </si>
  <si>
    <t>30448</t>
  </si>
  <si>
    <t>CELULAS LE*</t>
  </si>
  <si>
    <t>30452</t>
  </si>
  <si>
    <t>DENSIDAD URINARIA</t>
  </si>
  <si>
    <t>30453</t>
  </si>
  <si>
    <t>LH (HOR.LETUNIZANTE) -QUIMIOLU</t>
  </si>
  <si>
    <t>30461</t>
  </si>
  <si>
    <t>CHAGAS -QUIMIOLUMINISCENCIA</t>
  </si>
  <si>
    <t>30462</t>
  </si>
  <si>
    <t>HTLV I Y II QUIMIOLUMINISCENCI</t>
  </si>
  <si>
    <t>30465</t>
  </si>
  <si>
    <t>MATERIAL DESCARTABLE ORINA PED</t>
  </si>
  <si>
    <t>30467</t>
  </si>
  <si>
    <t>ANTIC TREPONEMA PALLIDIUM (SIF</t>
  </si>
  <si>
    <t>30468</t>
  </si>
  <si>
    <t>HEPATITIS B- HBSAG</t>
  </si>
  <si>
    <t>30477</t>
  </si>
  <si>
    <t>CITOQUIMICO DE LIQUIDOS</t>
  </si>
  <si>
    <t>30487</t>
  </si>
  <si>
    <t>30488</t>
  </si>
  <si>
    <t>AZUCARES REDUCTORES EN HECES</t>
  </si>
  <si>
    <t>BIOSEGURIDAD COVID 19</t>
  </si>
  <si>
    <t>30492</t>
  </si>
  <si>
    <t>PRUEBA ANTIGENO COVID19-PACIEN</t>
  </si>
  <si>
    <t>30496</t>
  </si>
  <si>
    <t>PBA.ANTICUERPOS COVID19-PACIEN</t>
  </si>
  <si>
    <t>30570</t>
  </si>
  <si>
    <t>30545</t>
  </si>
  <si>
    <t>CITOQUIMICO DE LIQUIDO (LCR)</t>
  </si>
  <si>
    <t>30546</t>
  </si>
  <si>
    <t>PERFIL TORCH RAPIDTEST</t>
  </si>
  <si>
    <t>30548</t>
  </si>
  <si>
    <t>MALARIA RAPIDTEST</t>
  </si>
  <si>
    <t>HEMATOCRITOS</t>
  </si>
  <si>
    <t>30573</t>
  </si>
  <si>
    <t>AC PARA CHIKUNGUNYA IGG/IGM</t>
  </si>
  <si>
    <t>30577</t>
  </si>
  <si>
    <t>PERFIL DESPISTAJE OSTEOPOROSIS</t>
  </si>
  <si>
    <t>30578</t>
  </si>
  <si>
    <t>PRO PEPTIDO NATRIURETICO-BNP</t>
  </si>
  <si>
    <t>CURVA DE GLUCOSA 2 HRS</t>
  </si>
  <si>
    <t>CURVA DE GLUCOSA/INSULINA 2HRS</t>
  </si>
  <si>
    <t>30586</t>
  </si>
  <si>
    <t>CALPROTECTINA EN HECES</t>
  </si>
  <si>
    <t>30587</t>
  </si>
  <si>
    <t>ANTIGENO DENGUE NS1</t>
  </si>
  <si>
    <t>30588</t>
  </si>
  <si>
    <t>PERFIL VIRAL RESPIRATORIO</t>
  </si>
  <si>
    <t>BAREMO:  LABORATORIO</t>
  </si>
  <si>
    <t xml:space="preserve">ESPIROMETRIA </t>
  </si>
  <si>
    <t>CLINICA SANATRIX</t>
  </si>
  <si>
    <t>APROBADO</t>
  </si>
  <si>
    <t>30613</t>
  </si>
  <si>
    <t>PARASITOS EMERGENTES</t>
  </si>
  <si>
    <t>30034</t>
  </si>
  <si>
    <t>DEPURACION DE UREA</t>
  </si>
  <si>
    <t>GLICEMIA</t>
  </si>
  <si>
    <t>30436</t>
  </si>
  <si>
    <t>UREA EN SANGRE</t>
  </si>
  <si>
    <t>30463</t>
  </si>
  <si>
    <t>UREA EN ORINA</t>
  </si>
  <si>
    <t>30433</t>
  </si>
  <si>
    <t>UREA EN ORINA 12 HORAS</t>
  </si>
  <si>
    <t>30434</t>
  </si>
  <si>
    <t>UREA EN ORINA 24 HORAS</t>
  </si>
  <si>
    <t>30435</t>
  </si>
  <si>
    <t>UREA EN ORINA PARCIAL</t>
  </si>
  <si>
    <t>HEMATOLOGIA COMPLETA</t>
  </si>
  <si>
    <t>EXAMEN DE ORINA</t>
  </si>
  <si>
    <t>EXAMEN DE HECES</t>
  </si>
  <si>
    <t>EXAMEN DE ORINA PEDIATRICO</t>
  </si>
  <si>
    <t>30610</t>
  </si>
  <si>
    <t>PERFIL 20</t>
  </si>
  <si>
    <t>30608</t>
  </si>
  <si>
    <t>PERFIL BASICO</t>
  </si>
  <si>
    <t>PERFIL QUIRURGICO</t>
  </si>
  <si>
    <t>KIT TDM LAB 1</t>
  </si>
  <si>
    <t>KIT TDM LAB 2</t>
  </si>
  <si>
    <t>KIT TDM LAB 3</t>
  </si>
  <si>
    <t>30609</t>
  </si>
  <si>
    <t>KIT TDM LAB 4</t>
  </si>
  <si>
    <t>30620</t>
  </si>
  <si>
    <t>PANEL RESPIRATORIO 2 PRUEBARAP</t>
  </si>
  <si>
    <t>COD</t>
  </si>
  <si>
    <t>DESCRIPCIÓN</t>
  </si>
  <si>
    <t>PRECIO $</t>
  </si>
  <si>
    <t>REVISIÓN TRIMESTRAL</t>
  </si>
  <si>
    <t>CLASIFICACIÓN</t>
  </si>
  <si>
    <t>FISIATRA</t>
  </si>
  <si>
    <t xml:space="preserve">*SESION FISIOTERAPIA (1 SESION)      </t>
  </si>
  <si>
    <t xml:space="preserve">*SESION TERAPIA NEURAL  (1 SESION)  </t>
  </si>
  <si>
    <t>30547</t>
  </si>
  <si>
    <t>PERFIL MULTIDROGAS RAPIDTES</t>
  </si>
  <si>
    <t>30594</t>
  </si>
  <si>
    <t>TROPONINA I CUANTITATIVA</t>
  </si>
  <si>
    <t>30627</t>
  </si>
  <si>
    <t>AC ANTI ZIKA</t>
  </si>
  <si>
    <t xml:space="preserve">NOTA: LOS MONTOS EN DOLARES SERÁN CALCULADOS Y FACTURADOS  A LA TASA BCV DEL DÍA </t>
  </si>
  <si>
    <t xml:space="preserve">FECHA: 09/03/2026 AL 09/06/2026 </t>
  </si>
  <si>
    <t>CONVENIO: SEGUROS HORIZONTE</t>
  </si>
  <si>
    <t>CONVENIDO</t>
  </si>
  <si>
    <t>SUJETO ASESORIA MEDICA</t>
  </si>
  <si>
    <t>NO CONVENIDO</t>
  </si>
  <si>
    <t>NO APLICA</t>
  </si>
  <si>
    <t>DESGLOSAR</t>
  </si>
  <si>
    <t>CONTRAOFERTA S.H VIG MARZO AL 09/06/2026</t>
  </si>
  <si>
    <t>SANATRIX 20/03/2026</t>
  </si>
  <si>
    <t>BAJO PRESUPUESTO</t>
  </si>
  <si>
    <t>​PERFIL DIARREA</t>
  </si>
  <si>
    <t>​Coprocultivo</t>
  </si>
  <si>
    <t>​Heces</t>
  </si>
  <si>
    <t>​Leucocitos Fecales</t>
  </si>
  <si>
    <t>​Rota - Adenovirus</t>
  </si>
  <si>
    <t>​Azúcares Reductores</t>
  </si>
  <si>
    <t>​Sangre Oculta</t>
  </si>
  <si>
    <t>​PERFIL HEPÁTICO</t>
  </si>
  <si>
    <t>​Hematología Completa</t>
  </si>
  <si>
    <t>​Colesterol Total</t>
  </si>
  <si>
    <t>​Proteínas Totales y Fraccionadas</t>
  </si>
  <si>
    <t>​Bilirrubina Total y Fraccionada</t>
  </si>
  <si>
    <t>​Transaminasa Oxalacética</t>
  </si>
  <si>
    <t>​Transaminasa Pirúvica</t>
  </si>
  <si>
    <t>​Fosfatasa Alcalina</t>
  </si>
  <si>
    <t>​GGT</t>
  </si>
  <si>
    <t>​LDH</t>
  </si>
  <si>
    <t>​PERFIL LIPÍDICO</t>
  </si>
  <si>
    <t>​Colesterol HDL</t>
  </si>
  <si>
    <t>​Colesterol LDL</t>
  </si>
  <si>
    <t>​Colesterol VLDL</t>
  </si>
  <si>
    <t>​Glicemia</t>
  </si>
  <si>
    <t>​Lípidos Totales</t>
  </si>
  <si>
    <t>​Triglicéridos</t>
  </si>
  <si>
    <t>​COLUMNA DERECHA</t>
  </si>
  <si>
    <t>​PERFIL VIRAL TORSCH</t>
  </si>
  <si>
    <t>​Citomegalovirus IGG</t>
  </si>
  <si>
    <t>​Citomegalovirus IGM</t>
  </si>
  <si>
    <t>​Epstein Barr IGG</t>
  </si>
  <si>
    <t>​Epstein Barr IGM</t>
  </si>
  <si>
    <t>​Rubeola IGG</t>
  </si>
  <si>
    <t>​Rubeola IGM</t>
  </si>
  <si>
    <t>​Toxoplasma IGG</t>
  </si>
  <si>
    <t>​Toxoplasma IGM</t>
  </si>
  <si>
    <t>​PERFIL EMERGENCIA</t>
  </si>
  <si>
    <t>​Urea</t>
  </si>
  <si>
    <t>​Creatinina</t>
  </si>
  <si>
    <t>​Electrolitos Séricos</t>
  </si>
  <si>
    <t>​PERFIL HORMONAL FEMENINO</t>
  </si>
  <si>
    <t>​Estradiol</t>
  </si>
  <si>
    <t>​FSH</t>
  </si>
  <si>
    <t>​LH</t>
  </si>
  <si>
    <t>​Progesterona</t>
  </si>
  <si>
    <t>​Prolactina</t>
  </si>
  <si>
    <t>​DHEA - Sulfato</t>
  </si>
  <si>
    <t>​PERFIL HORMONAL MASCULINO</t>
  </si>
  <si>
    <t>​Testosterona Total</t>
  </si>
  <si>
    <t>​PERFIL PRENATAL I</t>
  </si>
  <si>
    <t>​Hierro Sérico</t>
  </si>
  <si>
    <t>​HIV</t>
  </si>
  <si>
    <t>​Ex. Orina</t>
  </si>
  <si>
    <t>​VDRL</t>
  </si>
  <si>
    <t>​PERFIL ISQUÉMICO</t>
  </si>
  <si>
    <t>​CK</t>
  </si>
  <si>
    <t>​CK MB</t>
  </si>
  <si>
    <t>​Troponina I</t>
  </si>
  <si>
    <t>​PERFIL TIROIDEO</t>
  </si>
  <si>
    <t>​TSH</t>
  </si>
  <si>
    <t>​T3 Libre</t>
  </si>
  <si>
    <t>​T4 Libre</t>
  </si>
  <si>
    <t>​PERFIL 20</t>
  </si>
  <si>
    <t>​Ácido Úrico</t>
  </si>
  <si>
    <t>​Ex. de Orina</t>
  </si>
  <si>
    <t>​PERFIL QUIRÚRGICO</t>
  </si>
  <si>
    <t>​PT</t>
  </si>
  <si>
    <t>​PTT</t>
  </si>
  <si>
    <t>​VSG</t>
  </si>
  <si>
    <t>​PERFIL SANATRIX</t>
  </si>
  <si>
    <t>​Bilirrubina Total y Fraccionadas</t>
  </si>
  <si>
    <t>​PERFIL ALTO RIESGO</t>
  </si>
  <si>
    <t>​Calcio</t>
  </si>
  <si>
    <t>​Fósforos</t>
  </si>
  <si>
    <t>​Magnesio</t>
  </si>
  <si>
    <t xml:space="preserve">PERFIRL RENAL </t>
  </si>
  <si>
    <t>FOSFORO EN SAGRE</t>
  </si>
  <si>
    <t>ELECTROLITO EN SUERO</t>
  </si>
  <si>
    <t xml:space="preserve">DEPURACION DE CREATININA </t>
  </si>
  <si>
    <t xml:space="preserve">PROTEINURIA EN ORINA DE 24 HORAS </t>
  </si>
  <si>
    <t>​ORINA</t>
  </si>
  <si>
    <t>​Examen de Orina</t>
  </si>
  <si>
    <t>​Proteinuria Parcial</t>
  </si>
  <si>
    <t>​Proteinuria 24 Horas</t>
  </si>
  <si>
    <t>BAREMO CONVENIDO S.H VIG MARZO AL 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</si>
</sst>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[$$-540A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/>
    <xf numFmtId="43" fontId="4" fillId="2" borderId="0" xfId="0" applyNumberFormat="1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3" fontId="4" fillId="4" borderId="0" xfId="0" applyNumberFormat="1" applyFont="1" applyFill="1" applyAlignment="1">
      <alignment horizontal="left" vertical="center" wrapText="1"/>
    </xf>
    <xf numFmtId="43" fontId="4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4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3" fontId="4" fillId="4" borderId="0" xfId="0" applyNumberFormat="1" applyFont="1" applyFill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/>
    </xf>
    <xf numFmtId="0" fontId="10" fillId="7" borderId="5" xfId="0" applyFont="1" applyFill="1" applyBorder="1"/>
    <xf numFmtId="0" fontId="0" fillId="0" borderId="6" xfId="0" applyBorder="1"/>
    <xf numFmtId="0" fontId="0" fillId="0" borderId="7" xfId="0" applyBorder="1"/>
    <xf numFmtId="0" fontId="10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left" vertical="top"/>
    </xf>
    <xf numFmtId="43" fontId="0" fillId="0" borderId="0" xfId="0" applyNumberFormat="1" applyAlignment="1">
      <alignment horizontal="left" vertical="top"/>
    </xf>
    <xf numFmtId="0" fontId="10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2" fillId="0" borderId="0" xfId="0" applyNumberFormat="1" applyFont="1"/>
    <xf numFmtId="2" fontId="2" fillId="0" borderId="0" xfId="5" applyNumberFormat="1" applyFont="1"/>
    <xf numFmtId="2" fontId="2" fillId="0" borderId="0" xfId="5" applyNumberFormat="1" applyFont="1" applyAlignment="1">
      <alignment vertical="center"/>
    </xf>
    <xf numFmtId="2" fontId="3" fillId="8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164" fontId="3" fillId="6" borderId="1" xfId="0" applyNumberFormat="1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left" wrapText="1"/>
    </xf>
    <xf numFmtId="43" fontId="4" fillId="4" borderId="0" xfId="0" applyNumberFormat="1" applyFont="1" applyFill="1" applyAlignment="1">
      <alignment horizontal="left" vertical="center" wrapText="1"/>
    </xf>
    <xf numFmtId="43" fontId="3" fillId="0" borderId="0" xfId="0" applyNumberFormat="1" applyFont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 vertical="center" wrapText="1"/>
    </xf>
    <xf numFmtId="164" fontId="8" fillId="6" borderId="3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</cellXfs>
  <cellStyles count="6">
    <cellStyle name="Millares 2" xfId="2"/>
    <cellStyle name="Millares 2 2" xfId="4"/>
    <cellStyle name="Millares 3" xfId="3"/>
    <cellStyle name="Normal" xfId="0" builtinId="0"/>
    <cellStyle name="Normal 5" xfId="1"/>
    <cellStyle name="Porcentaje" xfId="5" builtinId="5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[$$-540A]#,##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fgColor theme="0"/>
          <bgColor theme="0"/>
        </patternFill>
      </fill>
    </dxf>
    <dxf>
      <fill>
        <patternFill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0"/>
          <bgColor theme="0"/>
        </patternFill>
      </fill>
    </dxf>
    <dxf>
      <fill>
        <patternFill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182563</xdr:colOff>
      <xdr:row>1</xdr:row>
      <xdr:rowOff>87312</xdr:rowOff>
    </xdr:from>
    <xdr:to>
      <xdr:col>2</xdr:col>
      <xdr:colOff>728662</xdr:colOff>
      <xdr:row>5</xdr:row>
      <xdr:rowOff>151171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63" y="246062"/>
          <a:ext cx="2625724" cy="698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273326</xdr:colOff>
      <xdr:row>0</xdr:row>
      <xdr:rowOff>24434</xdr:rowOff>
    </xdr:from>
    <xdr:to>
      <xdr:col>2</xdr:col>
      <xdr:colOff>919369</xdr:colOff>
      <xdr:row>4</xdr:row>
      <xdr:rowOff>26531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26" y="24434"/>
          <a:ext cx="1731065" cy="830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9526</xdr:rowOff>
    </xdr:from>
    <xdr:to>
      <xdr:col>1</xdr:col>
      <xdr:colOff>171451</xdr:colOff>
      <xdr:row>5</xdr:row>
      <xdr:rowOff>118782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07B1821-BCD6-4A0F-AC1C-26DDED23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6"/>
          <a:ext cx="2276476" cy="10617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B11:G81" totalsRowShown="0" headerRowDxfId="9" headerRowBorderDxfId="8" tableBorderDxfId="7" totalsRowBorderDxfId="6">
  <tableColumns count="6">
    <tableColumn id="1" name="ESPECIALIDADES" dataDxfId="5"/>
    <tableColumn id="2" name="CONSULTAS" dataDxfId="4"/>
    <tableColumn id="3" name="REFERENCIA $" dataDxfId="3" dataCellStyle="Millares 2"/>
    <tableColumn id="4" name="CONTRAOFERTA S.H VIG MARZO AL 09/06/2026" dataDxfId="2"/>
    <tableColumn id="5" name="SANATRIX 20/03/2026" dataDxfId="1"/>
    <tableColumn id="6" name="BAREMO CONVENIDO S.H VIG MARZO AL 09/06/202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8"/>
  <sheetViews>
    <sheetView showGridLines="0" tabSelected="1" zoomScale="110" zoomScaleNormal="110" workbookViewId="0">
      <selection activeCell="G76" sqref="G76"/>
    </sheetView>
  </sheetViews>
  <sheetFormatPr baseColWidth="10" defaultColWidth="11.42578125" defaultRowHeight="12.75" x14ac:dyDescent="0.2"/>
  <cols>
    <col min="1" max="1" width="4.140625" style="3" customWidth="1"/>
    <col min="2" max="2" width="27" style="11" customWidth="1"/>
    <col min="3" max="3" width="47" style="16" customWidth="1"/>
    <col min="4" max="4" width="15.42578125" style="6" customWidth="1"/>
    <col min="5" max="5" width="21.28515625" style="3" customWidth="1"/>
    <col min="6" max="6" width="17.5703125" style="3" customWidth="1"/>
    <col min="7" max="7" width="19.42578125" style="3" customWidth="1"/>
    <col min="8" max="8" width="36.140625" style="3" customWidth="1"/>
    <col min="9" max="9" width="11.42578125" style="3"/>
    <col min="10" max="10" width="44.42578125" style="3" customWidth="1"/>
    <col min="11" max="16384" width="11.42578125" style="3"/>
  </cols>
  <sheetData>
    <row r="2" spans="1:12" x14ac:dyDescent="0.2">
      <c r="A2" s="1"/>
      <c r="B2" s="6"/>
      <c r="C2" s="6"/>
    </row>
    <row r="3" spans="1:12" x14ac:dyDescent="0.2">
      <c r="A3" s="1"/>
      <c r="B3" s="6"/>
      <c r="C3" s="6"/>
      <c r="D3" s="15"/>
    </row>
    <row r="4" spans="1:12" x14ac:dyDescent="0.2">
      <c r="A4" s="1"/>
      <c r="B4" s="6"/>
      <c r="C4" s="6"/>
    </row>
    <row r="5" spans="1:12" x14ac:dyDescent="0.2">
      <c r="A5" s="1"/>
      <c r="B5" s="6"/>
      <c r="C5" s="6"/>
    </row>
    <row r="6" spans="1:12" ht="25.5" customHeight="1" x14ac:dyDescent="0.2">
      <c r="A6" s="1"/>
      <c r="B6" s="57" t="s">
        <v>728</v>
      </c>
      <c r="C6" s="57"/>
      <c r="D6" s="8"/>
    </row>
    <row r="7" spans="1:12" x14ac:dyDescent="0.2">
      <c r="A7" s="1"/>
      <c r="B7" s="59" t="s">
        <v>59</v>
      </c>
      <c r="C7" s="59"/>
      <c r="D7" s="8"/>
    </row>
    <row r="8" spans="1:12" ht="12.75" customHeight="1" x14ac:dyDescent="0.2">
      <c r="A8" s="1"/>
      <c r="B8" s="59" t="s">
        <v>729</v>
      </c>
      <c r="C8" s="59"/>
      <c r="D8" s="59"/>
    </row>
    <row r="9" spans="1:12" x14ac:dyDescent="0.2">
      <c r="A9" s="1"/>
      <c r="B9" s="58" t="s">
        <v>716</v>
      </c>
      <c r="C9" s="58"/>
      <c r="D9" s="58"/>
    </row>
    <row r="10" spans="1:12" x14ac:dyDescent="0.2">
      <c r="A10" s="1"/>
      <c r="B10" s="10"/>
      <c r="C10" s="4"/>
      <c r="D10" s="7"/>
    </row>
    <row r="11" spans="1:12" ht="38.25" x14ac:dyDescent="0.2">
      <c r="B11" s="12" t="s">
        <v>58</v>
      </c>
      <c r="C11" s="13" t="s">
        <v>57</v>
      </c>
      <c r="D11" s="13" t="s">
        <v>60</v>
      </c>
      <c r="E11" s="28" t="s">
        <v>735</v>
      </c>
      <c r="F11" s="55" t="s">
        <v>736</v>
      </c>
      <c r="G11" s="62" t="s">
        <v>820</v>
      </c>
    </row>
    <row r="12" spans="1:12" x14ac:dyDescent="0.2">
      <c r="B12" s="14" t="s">
        <v>33</v>
      </c>
      <c r="C12" s="5" t="s">
        <v>0</v>
      </c>
      <c r="D12" s="25">
        <v>60</v>
      </c>
      <c r="E12" s="27">
        <v>50</v>
      </c>
      <c r="F12" s="11">
        <v>50</v>
      </c>
      <c r="G12" s="26">
        <v>50</v>
      </c>
      <c r="L12" s="3" t="s">
        <v>680</v>
      </c>
    </row>
    <row r="13" spans="1:12" x14ac:dyDescent="0.2">
      <c r="B13" s="14" t="s">
        <v>33</v>
      </c>
      <c r="C13" s="5" t="s">
        <v>1</v>
      </c>
      <c r="D13" s="25">
        <v>60</v>
      </c>
      <c r="E13" s="27">
        <v>50</v>
      </c>
      <c r="F13" s="11">
        <v>50</v>
      </c>
      <c r="G13" s="26">
        <v>50</v>
      </c>
      <c r="L13" s="3" t="s">
        <v>681</v>
      </c>
    </row>
    <row r="14" spans="1:12" x14ac:dyDescent="0.2">
      <c r="B14" s="14" t="s">
        <v>33</v>
      </c>
      <c r="C14" s="5" t="s">
        <v>2</v>
      </c>
      <c r="D14" s="25">
        <v>60</v>
      </c>
      <c r="E14" s="27">
        <v>50</v>
      </c>
      <c r="F14" s="11">
        <v>50</v>
      </c>
      <c r="G14" s="26">
        <v>50</v>
      </c>
      <c r="L14" s="3" t="s">
        <v>681</v>
      </c>
    </row>
    <row r="15" spans="1:12" x14ac:dyDescent="0.2">
      <c r="B15" s="14" t="s">
        <v>33</v>
      </c>
      <c r="C15" s="5" t="s">
        <v>3</v>
      </c>
      <c r="D15" s="25">
        <v>60</v>
      </c>
      <c r="E15" s="27">
        <v>50</v>
      </c>
      <c r="F15" s="11">
        <v>50</v>
      </c>
      <c r="G15" s="26">
        <v>50</v>
      </c>
      <c r="L15" s="3" t="s">
        <v>681</v>
      </c>
    </row>
    <row r="16" spans="1:12" x14ac:dyDescent="0.2">
      <c r="B16" s="14" t="s">
        <v>33</v>
      </c>
      <c r="C16" s="5" t="s">
        <v>4</v>
      </c>
      <c r="D16" s="25">
        <v>60</v>
      </c>
      <c r="E16" s="27">
        <v>50</v>
      </c>
      <c r="F16" s="11">
        <v>50</v>
      </c>
      <c r="G16" s="26">
        <v>50</v>
      </c>
      <c r="L16" s="3" t="s">
        <v>681</v>
      </c>
    </row>
    <row r="17" spans="2:12" x14ac:dyDescent="0.2">
      <c r="B17" s="14" t="s">
        <v>33</v>
      </c>
      <c r="C17" s="5" t="s">
        <v>5</v>
      </c>
      <c r="D17" s="25">
        <v>60</v>
      </c>
      <c r="E17" s="27">
        <v>50</v>
      </c>
      <c r="F17" s="11">
        <v>50</v>
      </c>
      <c r="G17" s="26">
        <v>50</v>
      </c>
      <c r="L17" s="3" t="s">
        <v>681</v>
      </c>
    </row>
    <row r="18" spans="2:12" x14ac:dyDescent="0.2">
      <c r="B18" s="14" t="s">
        <v>33</v>
      </c>
      <c r="C18" s="5" t="s">
        <v>6</v>
      </c>
      <c r="D18" s="25">
        <v>60</v>
      </c>
      <c r="E18" s="27">
        <v>50</v>
      </c>
      <c r="F18" s="11">
        <v>50</v>
      </c>
      <c r="G18" s="26">
        <v>50</v>
      </c>
      <c r="L18" s="3" t="s">
        <v>681</v>
      </c>
    </row>
    <row r="19" spans="2:12" x14ac:dyDescent="0.2">
      <c r="B19" s="14" t="s">
        <v>33</v>
      </c>
      <c r="C19" s="5" t="s">
        <v>7</v>
      </c>
      <c r="D19" s="25">
        <v>60</v>
      </c>
      <c r="E19" s="27">
        <v>50</v>
      </c>
      <c r="F19" s="11">
        <v>50</v>
      </c>
      <c r="G19" s="26">
        <v>50</v>
      </c>
      <c r="L19" s="3" t="s">
        <v>681</v>
      </c>
    </row>
    <row r="20" spans="2:12" x14ac:dyDescent="0.2">
      <c r="B20" s="14" t="s">
        <v>33</v>
      </c>
      <c r="C20" s="5" t="s">
        <v>8</v>
      </c>
      <c r="D20" s="25">
        <v>60</v>
      </c>
      <c r="E20" s="27">
        <v>50</v>
      </c>
      <c r="F20" s="11">
        <v>50</v>
      </c>
      <c r="G20" s="26">
        <v>50</v>
      </c>
      <c r="L20" s="3" t="s">
        <v>681</v>
      </c>
    </row>
    <row r="21" spans="2:12" x14ac:dyDescent="0.2">
      <c r="B21" s="14" t="s">
        <v>33</v>
      </c>
      <c r="C21" s="5" t="s">
        <v>9</v>
      </c>
      <c r="D21" s="25">
        <v>60</v>
      </c>
      <c r="E21" s="27">
        <v>50</v>
      </c>
      <c r="F21" s="11">
        <v>50</v>
      </c>
      <c r="G21" s="26">
        <v>50</v>
      </c>
      <c r="L21" s="3" t="s">
        <v>681</v>
      </c>
    </row>
    <row r="22" spans="2:12" x14ac:dyDescent="0.2">
      <c r="B22" s="14" t="s">
        <v>33</v>
      </c>
      <c r="C22" s="5" t="s">
        <v>10</v>
      </c>
      <c r="D22" s="25">
        <v>60</v>
      </c>
      <c r="E22" s="27">
        <v>50</v>
      </c>
      <c r="F22" s="11">
        <v>50</v>
      </c>
      <c r="G22" s="26">
        <v>50</v>
      </c>
      <c r="L22" s="3" t="s">
        <v>681</v>
      </c>
    </row>
    <row r="23" spans="2:12" x14ac:dyDescent="0.2">
      <c r="B23" s="14" t="s">
        <v>33</v>
      </c>
      <c r="C23" s="5" t="s">
        <v>11</v>
      </c>
      <c r="D23" s="25">
        <v>60</v>
      </c>
      <c r="E23" s="27">
        <v>50</v>
      </c>
      <c r="F23" s="11">
        <v>50</v>
      </c>
      <c r="G23" s="26">
        <v>50</v>
      </c>
      <c r="L23" s="3" t="s">
        <v>681</v>
      </c>
    </row>
    <row r="24" spans="2:12" x14ac:dyDescent="0.2">
      <c r="B24" s="14" t="s">
        <v>33</v>
      </c>
      <c r="C24" s="5" t="s">
        <v>12</v>
      </c>
      <c r="D24" s="25">
        <v>60</v>
      </c>
      <c r="E24" s="27">
        <v>50</v>
      </c>
      <c r="F24" s="11">
        <v>50</v>
      </c>
      <c r="G24" s="26">
        <v>50</v>
      </c>
      <c r="L24" s="3" t="s">
        <v>681</v>
      </c>
    </row>
    <row r="25" spans="2:12" x14ac:dyDescent="0.2">
      <c r="B25" s="14" t="s">
        <v>33</v>
      </c>
      <c r="C25" s="5" t="s">
        <v>13</v>
      </c>
      <c r="D25" s="25">
        <v>60</v>
      </c>
      <c r="E25" s="27">
        <v>50</v>
      </c>
      <c r="F25" s="11">
        <v>50</v>
      </c>
      <c r="G25" s="26">
        <v>50</v>
      </c>
      <c r="L25" s="3" t="s">
        <v>681</v>
      </c>
    </row>
    <row r="26" spans="2:12" x14ac:dyDescent="0.2">
      <c r="B26" s="14" t="s">
        <v>33</v>
      </c>
      <c r="C26" s="5" t="s">
        <v>14</v>
      </c>
      <c r="D26" s="25">
        <v>60</v>
      </c>
      <c r="E26" s="27">
        <v>50</v>
      </c>
      <c r="F26" s="11">
        <v>50</v>
      </c>
      <c r="G26" s="26">
        <v>50</v>
      </c>
      <c r="L26" s="3" t="s">
        <v>681</v>
      </c>
    </row>
    <row r="27" spans="2:12" x14ac:dyDescent="0.2">
      <c r="B27" s="14" t="s">
        <v>33</v>
      </c>
      <c r="C27" s="5" t="s">
        <v>15</v>
      </c>
      <c r="D27" s="25">
        <v>60</v>
      </c>
      <c r="E27" s="27">
        <v>50</v>
      </c>
      <c r="F27" s="11">
        <v>50</v>
      </c>
      <c r="G27" s="26">
        <v>50</v>
      </c>
      <c r="L27" s="3" t="s">
        <v>681</v>
      </c>
    </row>
    <row r="28" spans="2:12" x14ac:dyDescent="0.2">
      <c r="B28" s="14" t="s">
        <v>33</v>
      </c>
      <c r="C28" s="5" t="s">
        <v>16</v>
      </c>
      <c r="D28" s="25">
        <v>60</v>
      </c>
      <c r="E28" s="27">
        <v>50</v>
      </c>
      <c r="F28" s="11">
        <v>50</v>
      </c>
      <c r="G28" s="26">
        <v>50</v>
      </c>
      <c r="L28" s="3" t="s">
        <v>681</v>
      </c>
    </row>
    <row r="29" spans="2:12" x14ac:dyDescent="0.2">
      <c r="B29" s="14" t="s">
        <v>33</v>
      </c>
      <c r="C29" s="5" t="s">
        <v>17</v>
      </c>
      <c r="D29" s="25">
        <v>60</v>
      </c>
      <c r="E29" s="27">
        <v>50</v>
      </c>
      <c r="F29" s="11">
        <v>50</v>
      </c>
      <c r="G29" s="26">
        <v>50</v>
      </c>
      <c r="L29" s="3" t="s">
        <v>681</v>
      </c>
    </row>
    <row r="30" spans="2:12" x14ac:dyDescent="0.2">
      <c r="B30" s="14" t="s">
        <v>33</v>
      </c>
      <c r="C30" s="5" t="s">
        <v>18</v>
      </c>
      <c r="D30" s="25">
        <v>60</v>
      </c>
      <c r="E30" s="27">
        <v>50</v>
      </c>
      <c r="F30" s="11">
        <v>50</v>
      </c>
      <c r="G30" s="26">
        <v>50</v>
      </c>
      <c r="L30" s="3" t="s">
        <v>681</v>
      </c>
    </row>
    <row r="31" spans="2:12" x14ac:dyDescent="0.2">
      <c r="B31" s="14" t="s">
        <v>33</v>
      </c>
      <c r="C31" s="5" t="s">
        <v>19</v>
      </c>
      <c r="D31" s="25">
        <v>60</v>
      </c>
      <c r="E31" s="27">
        <v>50</v>
      </c>
      <c r="F31" s="11">
        <v>50</v>
      </c>
      <c r="G31" s="26">
        <v>50</v>
      </c>
      <c r="L31" s="3" t="s">
        <v>681</v>
      </c>
    </row>
    <row r="32" spans="2:12" x14ac:dyDescent="0.2">
      <c r="B32" s="14" t="s">
        <v>33</v>
      </c>
      <c r="C32" s="5" t="s">
        <v>20</v>
      </c>
      <c r="D32" s="25">
        <v>60</v>
      </c>
      <c r="E32" s="27">
        <v>50</v>
      </c>
      <c r="F32" s="11">
        <v>50</v>
      </c>
      <c r="G32" s="26">
        <v>50</v>
      </c>
      <c r="L32" s="3" t="s">
        <v>681</v>
      </c>
    </row>
    <row r="33" spans="2:12" x14ac:dyDescent="0.2">
      <c r="B33" s="14" t="s">
        <v>33</v>
      </c>
      <c r="C33" s="5" t="s">
        <v>21</v>
      </c>
      <c r="D33" s="25">
        <v>60</v>
      </c>
      <c r="E33" s="27">
        <v>50</v>
      </c>
      <c r="F33" s="11">
        <v>50</v>
      </c>
      <c r="G33" s="26">
        <v>50</v>
      </c>
      <c r="L33" s="3" t="s">
        <v>681</v>
      </c>
    </row>
    <row r="34" spans="2:12" x14ac:dyDescent="0.2">
      <c r="B34" s="14" t="s">
        <v>33</v>
      </c>
      <c r="C34" s="5" t="s">
        <v>718</v>
      </c>
      <c r="D34" s="25">
        <v>60</v>
      </c>
      <c r="E34" s="27">
        <v>50</v>
      </c>
      <c r="F34" s="11">
        <v>50</v>
      </c>
      <c r="G34" s="26">
        <v>50</v>
      </c>
    </row>
    <row r="35" spans="2:12" x14ac:dyDescent="0.2">
      <c r="B35" s="14" t="s">
        <v>31</v>
      </c>
      <c r="C35" s="5" t="s">
        <v>32</v>
      </c>
      <c r="D35" s="25">
        <v>60</v>
      </c>
      <c r="E35" s="27" t="s">
        <v>730</v>
      </c>
      <c r="F35" s="11">
        <v>60</v>
      </c>
      <c r="G35" s="26">
        <v>60</v>
      </c>
    </row>
    <row r="36" spans="2:12" x14ac:dyDescent="0.2">
      <c r="B36" s="14" t="s">
        <v>31</v>
      </c>
      <c r="C36" s="5" t="s">
        <v>720</v>
      </c>
      <c r="D36" s="25">
        <v>13</v>
      </c>
      <c r="E36" s="27" t="s">
        <v>730</v>
      </c>
      <c r="F36" s="11">
        <v>13</v>
      </c>
      <c r="G36" s="26">
        <v>13</v>
      </c>
    </row>
    <row r="37" spans="2:12" x14ac:dyDescent="0.2">
      <c r="B37" s="14" t="s">
        <v>31</v>
      </c>
      <c r="C37" s="5" t="s">
        <v>719</v>
      </c>
      <c r="D37" s="25">
        <v>33</v>
      </c>
      <c r="E37" s="27">
        <v>30</v>
      </c>
      <c r="F37" s="11">
        <v>30</v>
      </c>
      <c r="G37" s="26">
        <v>30</v>
      </c>
    </row>
    <row r="38" spans="2:12" x14ac:dyDescent="0.2">
      <c r="B38" s="14" t="s">
        <v>35</v>
      </c>
      <c r="C38" s="5" t="s">
        <v>34</v>
      </c>
      <c r="D38" s="25">
        <v>40</v>
      </c>
      <c r="E38" s="27" t="s">
        <v>730</v>
      </c>
      <c r="F38" s="11">
        <v>40</v>
      </c>
      <c r="G38" s="26">
        <v>40</v>
      </c>
    </row>
    <row r="39" spans="2:12" x14ac:dyDescent="0.2">
      <c r="B39" s="14" t="s">
        <v>35</v>
      </c>
      <c r="C39" s="5" t="s">
        <v>37</v>
      </c>
      <c r="D39" s="25">
        <v>40</v>
      </c>
      <c r="E39" s="27" t="s">
        <v>730</v>
      </c>
      <c r="F39" s="11">
        <v>40</v>
      </c>
      <c r="G39" s="26">
        <v>40</v>
      </c>
    </row>
    <row r="40" spans="2:12" x14ac:dyDescent="0.2">
      <c r="B40" s="14" t="s">
        <v>35</v>
      </c>
      <c r="C40" s="5" t="s">
        <v>36</v>
      </c>
      <c r="D40" s="25">
        <v>40</v>
      </c>
      <c r="E40" s="27" t="s">
        <v>730</v>
      </c>
      <c r="F40" s="11">
        <v>40</v>
      </c>
      <c r="G40" s="26">
        <v>40</v>
      </c>
    </row>
    <row r="41" spans="2:12" x14ac:dyDescent="0.2">
      <c r="B41" s="14" t="s">
        <v>8</v>
      </c>
      <c r="C41" s="5" t="s">
        <v>22</v>
      </c>
      <c r="D41" s="25">
        <v>50</v>
      </c>
      <c r="E41" s="27">
        <v>45</v>
      </c>
      <c r="F41" s="11">
        <v>50</v>
      </c>
      <c r="G41" s="26">
        <v>50</v>
      </c>
      <c r="L41" s="3" t="s">
        <v>681</v>
      </c>
    </row>
    <row r="42" spans="2:12" x14ac:dyDescent="0.2">
      <c r="B42" s="14" t="s">
        <v>8</v>
      </c>
      <c r="C42" s="5" t="s">
        <v>23</v>
      </c>
      <c r="D42" s="25">
        <v>80</v>
      </c>
      <c r="E42" s="27">
        <v>65</v>
      </c>
      <c r="F42" s="11">
        <v>70</v>
      </c>
      <c r="G42" s="26">
        <v>70</v>
      </c>
    </row>
    <row r="43" spans="2:12" hidden="1" x14ac:dyDescent="0.2">
      <c r="B43" s="14" t="s">
        <v>2</v>
      </c>
      <c r="C43" s="5" t="s">
        <v>24</v>
      </c>
      <c r="D43" s="25">
        <v>60</v>
      </c>
      <c r="E43" s="27">
        <v>20</v>
      </c>
      <c r="F43" s="11">
        <v>50</v>
      </c>
      <c r="G43" s="26" t="s">
        <v>732</v>
      </c>
    </row>
    <row r="44" spans="2:12" hidden="1" x14ac:dyDescent="0.2">
      <c r="B44" s="14" t="s">
        <v>2</v>
      </c>
      <c r="C44" s="5" t="s">
        <v>25</v>
      </c>
      <c r="D44" s="25">
        <v>130</v>
      </c>
      <c r="E44" s="27">
        <v>110</v>
      </c>
      <c r="F44" s="11">
        <v>130</v>
      </c>
      <c r="G44" s="26" t="s">
        <v>732</v>
      </c>
    </row>
    <row r="45" spans="2:12" hidden="1" x14ac:dyDescent="0.2">
      <c r="B45" s="14" t="s">
        <v>2</v>
      </c>
      <c r="C45" s="5" t="s">
        <v>26</v>
      </c>
      <c r="D45" s="25">
        <v>100</v>
      </c>
      <c r="E45" s="27">
        <v>55</v>
      </c>
      <c r="F45" s="11">
        <v>100</v>
      </c>
      <c r="G45" s="26" t="s">
        <v>732</v>
      </c>
    </row>
    <row r="46" spans="2:12" hidden="1" x14ac:dyDescent="0.2">
      <c r="B46" s="14" t="s">
        <v>2</v>
      </c>
      <c r="C46" s="5" t="s">
        <v>27</v>
      </c>
      <c r="D46" s="25">
        <v>100</v>
      </c>
      <c r="E46" s="27">
        <v>60</v>
      </c>
      <c r="F46" s="11">
        <v>100</v>
      </c>
      <c r="G46" s="26" t="s">
        <v>732</v>
      </c>
    </row>
    <row r="47" spans="2:12" hidden="1" x14ac:dyDescent="0.2">
      <c r="B47" s="14" t="s">
        <v>2</v>
      </c>
      <c r="C47" s="5" t="s">
        <v>28</v>
      </c>
      <c r="D47" s="25">
        <v>130</v>
      </c>
      <c r="E47" s="27">
        <v>60</v>
      </c>
      <c r="F47" s="11">
        <v>130</v>
      </c>
      <c r="G47" s="26" t="s">
        <v>732</v>
      </c>
    </row>
    <row r="48" spans="2:12" ht="25.5" x14ac:dyDescent="0.2">
      <c r="B48" s="14" t="s">
        <v>2</v>
      </c>
      <c r="C48" s="5" t="s">
        <v>61</v>
      </c>
      <c r="D48" s="25">
        <v>120</v>
      </c>
      <c r="E48" s="27" t="s">
        <v>731</v>
      </c>
      <c r="F48" s="11">
        <v>120</v>
      </c>
      <c r="G48" s="63" t="s">
        <v>731</v>
      </c>
    </row>
    <row r="49" spans="2:7" ht="25.5" x14ac:dyDescent="0.2">
      <c r="B49" s="14" t="s">
        <v>2</v>
      </c>
      <c r="C49" s="5" t="s">
        <v>29</v>
      </c>
      <c r="D49" s="25">
        <v>130</v>
      </c>
      <c r="E49" s="27" t="s">
        <v>731</v>
      </c>
      <c r="F49" s="11">
        <v>130</v>
      </c>
      <c r="G49" s="63" t="s">
        <v>731</v>
      </c>
    </row>
    <row r="50" spans="2:7" ht="25.5" x14ac:dyDescent="0.2">
      <c r="B50" s="14" t="s">
        <v>2</v>
      </c>
      <c r="C50" s="5" t="s">
        <v>30</v>
      </c>
      <c r="D50" s="25">
        <v>250</v>
      </c>
      <c r="E50" s="27" t="s">
        <v>731</v>
      </c>
      <c r="F50" s="11">
        <v>250</v>
      </c>
      <c r="G50" s="63" t="s">
        <v>731</v>
      </c>
    </row>
    <row r="51" spans="2:7" x14ac:dyDescent="0.2">
      <c r="B51" s="14" t="s">
        <v>56</v>
      </c>
      <c r="C51" s="5" t="s">
        <v>38</v>
      </c>
      <c r="D51" s="25">
        <v>40</v>
      </c>
      <c r="E51" s="27">
        <v>35</v>
      </c>
      <c r="F51" s="11">
        <v>35</v>
      </c>
      <c r="G51" s="63">
        <v>35</v>
      </c>
    </row>
    <row r="52" spans="2:7" x14ac:dyDescent="0.2">
      <c r="B52" s="14" t="s">
        <v>56</v>
      </c>
      <c r="C52" s="5" t="s">
        <v>39</v>
      </c>
      <c r="D52" s="25">
        <v>40</v>
      </c>
      <c r="E52" s="27">
        <v>35</v>
      </c>
      <c r="F52" s="11">
        <v>35</v>
      </c>
      <c r="G52" s="63">
        <v>35</v>
      </c>
    </row>
    <row r="53" spans="2:7" x14ac:dyDescent="0.2">
      <c r="B53" s="14" t="s">
        <v>56</v>
      </c>
      <c r="C53" s="5" t="s">
        <v>40</v>
      </c>
      <c r="D53" s="25">
        <v>40</v>
      </c>
      <c r="E53" s="27">
        <v>35</v>
      </c>
      <c r="F53" s="11">
        <v>35</v>
      </c>
      <c r="G53" s="63">
        <v>35</v>
      </c>
    </row>
    <row r="54" spans="2:7" x14ac:dyDescent="0.2">
      <c r="B54" s="14" t="s">
        <v>56</v>
      </c>
      <c r="C54" s="5" t="s">
        <v>41</v>
      </c>
      <c r="D54" s="25">
        <v>40</v>
      </c>
      <c r="E54" s="27">
        <v>35</v>
      </c>
      <c r="F54" s="11">
        <v>35</v>
      </c>
      <c r="G54" s="63">
        <v>35</v>
      </c>
    </row>
    <row r="55" spans="2:7" x14ac:dyDescent="0.2">
      <c r="B55" s="14" t="s">
        <v>56</v>
      </c>
      <c r="C55" s="5" t="s">
        <v>42</v>
      </c>
      <c r="D55" s="25">
        <v>60</v>
      </c>
      <c r="E55" s="27">
        <v>50</v>
      </c>
      <c r="F55" s="11">
        <v>50</v>
      </c>
      <c r="G55" s="63">
        <v>50</v>
      </c>
    </row>
    <row r="56" spans="2:7" x14ac:dyDescent="0.2">
      <c r="B56" s="14" t="s">
        <v>56</v>
      </c>
      <c r="C56" s="5" t="s">
        <v>43</v>
      </c>
      <c r="D56" s="25">
        <v>50</v>
      </c>
      <c r="E56" s="27" t="s">
        <v>730</v>
      </c>
      <c r="F56" s="11">
        <v>50</v>
      </c>
      <c r="G56" s="63" t="s">
        <v>730</v>
      </c>
    </row>
    <row r="57" spans="2:7" x14ac:dyDescent="0.2">
      <c r="B57" s="14" t="s">
        <v>56</v>
      </c>
      <c r="C57" s="5" t="s">
        <v>44</v>
      </c>
      <c r="D57" s="25">
        <v>60</v>
      </c>
      <c r="E57" s="27">
        <v>50</v>
      </c>
      <c r="F57" s="11">
        <v>50</v>
      </c>
      <c r="G57" s="63">
        <v>50</v>
      </c>
    </row>
    <row r="58" spans="2:7" x14ac:dyDescent="0.2">
      <c r="B58" s="14" t="s">
        <v>56</v>
      </c>
      <c r="C58" s="5" t="s">
        <v>45</v>
      </c>
      <c r="D58" s="25">
        <v>60</v>
      </c>
      <c r="E58" s="27">
        <v>50</v>
      </c>
      <c r="F58" s="11">
        <v>50</v>
      </c>
      <c r="G58" s="63">
        <v>50</v>
      </c>
    </row>
    <row r="59" spans="2:7" x14ac:dyDescent="0.2">
      <c r="B59" s="14" t="s">
        <v>56</v>
      </c>
      <c r="C59" s="5" t="s">
        <v>46</v>
      </c>
      <c r="D59" s="25">
        <v>60</v>
      </c>
      <c r="E59" s="27">
        <v>50</v>
      </c>
      <c r="F59" s="11">
        <v>50</v>
      </c>
      <c r="G59" s="63">
        <v>50</v>
      </c>
    </row>
    <row r="60" spans="2:7" x14ac:dyDescent="0.2">
      <c r="B60" s="14" t="s">
        <v>56</v>
      </c>
      <c r="C60" s="5" t="s">
        <v>47</v>
      </c>
      <c r="D60" s="25">
        <v>60</v>
      </c>
      <c r="E60" s="27">
        <v>50</v>
      </c>
      <c r="F60" s="11">
        <v>50</v>
      </c>
      <c r="G60" s="63">
        <v>50</v>
      </c>
    </row>
    <row r="61" spans="2:7" x14ac:dyDescent="0.2">
      <c r="B61" s="14" t="s">
        <v>56</v>
      </c>
      <c r="C61" s="5" t="s">
        <v>48</v>
      </c>
      <c r="D61" s="25">
        <v>60</v>
      </c>
      <c r="E61" s="27">
        <v>50</v>
      </c>
      <c r="F61" s="11">
        <v>50</v>
      </c>
      <c r="G61" s="63">
        <v>50</v>
      </c>
    </row>
    <row r="62" spans="2:7" x14ac:dyDescent="0.2">
      <c r="B62" s="14" t="s">
        <v>56</v>
      </c>
      <c r="C62" s="5" t="s">
        <v>49</v>
      </c>
      <c r="D62" s="25">
        <v>100</v>
      </c>
      <c r="E62" s="27">
        <v>55</v>
      </c>
      <c r="F62" s="11">
        <v>55</v>
      </c>
      <c r="G62" s="63">
        <v>55</v>
      </c>
    </row>
    <row r="63" spans="2:7" x14ac:dyDescent="0.2">
      <c r="B63" s="14" t="s">
        <v>56</v>
      </c>
      <c r="C63" s="5" t="s">
        <v>50</v>
      </c>
      <c r="D63" s="25">
        <v>40</v>
      </c>
      <c r="E63" s="27">
        <v>30</v>
      </c>
      <c r="F63" s="11">
        <v>30</v>
      </c>
      <c r="G63" s="63">
        <v>30</v>
      </c>
    </row>
    <row r="64" spans="2:7" x14ac:dyDescent="0.2">
      <c r="B64" s="14" t="s">
        <v>56</v>
      </c>
      <c r="C64" s="5" t="s">
        <v>51</v>
      </c>
      <c r="D64" s="25">
        <v>60</v>
      </c>
      <c r="E64" s="27">
        <v>55</v>
      </c>
      <c r="F64" s="11">
        <v>55</v>
      </c>
      <c r="G64" s="63">
        <v>55</v>
      </c>
    </row>
    <row r="65" spans="2:7" ht="25.5" x14ac:dyDescent="0.2">
      <c r="B65" s="14" t="s">
        <v>56</v>
      </c>
      <c r="C65" s="5" t="s">
        <v>52</v>
      </c>
      <c r="D65" s="25">
        <v>60</v>
      </c>
      <c r="E65" s="27">
        <v>50</v>
      </c>
      <c r="F65" s="11">
        <v>50</v>
      </c>
      <c r="G65" s="63">
        <v>50</v>
      </c>
    </row>
    <row r="66" spans="2:7" ht="25.5" x14ac:dyDescent="0.2">
      <c r="B66" s="14" t="s">
        <v>56</v>
      </c>
      <c r="C66" s="5" t="s">
        <v>53</v>
      </c>
      <c r="D66" s="25">
        <v>120</v>
      </c>
      <c r="E66" s="27" t="s">
        <v>731</v>
      </c>
      <c r="F66" s="11">
        <v>120</v>
      </c>
      <c r="G66" s="63" t="s">
        <v>731</v>
      </c>
    </row>
    <row r="67" spans="2:7" x14ac:dyDescent="0.2">
      <c r="B67" s="14" t="s">
        <v>56</v>
      </c>
      <c r="C67" s="5" t="s">
        <v>54</v>
      </c>
      <c r="D67" s="25">
        <v>120</v>
      </c>
      <c r="E67" s="27">
        <v>90</v>
      </c>
      <c r="F67" s="11">
        <v>90</v>
      </c>
      <c r="G67" s="63">
        <v>90</v>
      </c>
    </row>
    <row r="68" spans="2:7" x14ac:dyDescent="0.2">
      <c r="B68" s="14" t="s">
        <v>56</v>
      </c>
      <c r="C68" s="5" t="s">
        <v>55</v>
      </c>
      <c r="D68" s="25">
        <v>120</v>
      </c>
      <c r="E68" s="27">
        <v>90</v>
      </c>
      <c r="F68" s="11">
        <v>90</v>
      </c>
      <c r="G68" s="63">
        <v>90</v>
      </c>
    </row>
    <row r="69" spans="2:7" x14ac:dyDescent="0.2">
      <c r="B69" s="14" t="s">
        <v>69</v>
      </c>
      <c r="C69" s="5" t="s">
        <v>62</v>
      </c>
      <c r="D69" s="25">
        <v>270</v>
      </c>
      <c r="E69" s="27">
        <v>110</v>
      </c>
      <c r="F69" s="11">
        <v>110</v>
      </c>
      <c r="G69" s="63">
        <v>110</v>
      </c>
    </row>
    <row r="70" spans="2:7" ht="25.5" x14ac:dyDescent="0.2">
      <c r="B70" s="14" t="s">
        <v>69</v>
      </c>
      <c r="C70" s="5" t="s">
        <v>63</v>
      </c>
      <c r="D70" s="25">
        <v>150</v>
      </c>
      <c r="E70" s="27" t="s">
        <v>731</v>
      </c>
      <c r="F70" s="11">
        <v>150</v>
      </c>
      <c r="G70" s="63" t="s">
        <v>731</v>
      </c>
    </row>
    <row r="71" spans="2:7" ht="25.5" hidden="1" x14ac:dyDescent="0.2">
      <c r="B71" s="14" t="s">
        <v>69</v>
      </c>
      <c r="C71" s="5" t="s">
        <v>64</v>
      </c>
      <c r="D71" s="25">
        <v>100</v>
      </c>
      <c r="E71" s="27">
        <v>90</v>
      </c>
      <c r="F71" s="11">
        <v>100</v>
      </c>
      <c r="G71" s="26" t="s">
        <v>732</v>
      </c>
    </row>
    <row r="72" spans="2:7" ht="25.5" x14ac:dyDescent="0.2">
      <c r="B72" s="14" t="s">
        <v>69</v>
      </c>
      <c r="C72" s="5" t="s">
        <v>65</v>
      </c>
      <c r="D72" s="25">
        <v>200</v>
      </c>
      <c r="E72" s="27">
        <v>180</v>
      </c>
      <c r="F72" s="11" t="s">
        <v>737</v>
      </c>
      <c r="G72" s="63" t="s">
        <v>731</v>
      </c>
    </row>
    <row r="73" spans="2:7" ht="25.5" x14ac:dyDescent="0.2">
      <c r="B73" s="14" t="s">
        <v>69</v>
      </c>
      <c r="C73" s="5" t="s">
        <v>66</v>
      </c>
      <c r="D73" s="25">
        <v>300</v>
      </c>
      <c r="E73" s="27">
        <v>270</v>
      </c>
      <c r="F73" s="11" t="s">
        <v>737</v>
      </c>
      <c r="G73" s="63" t="s">
        <v>731</v>
      </c>
    </row>
    <row r="74" spans="2:7" ht="25.5" x14ac:dyDescent="0.2">
      <c r="B74" s="14" t="s">
        <v>69</v>
      </c>
      <c r="C74" s="5" t="s">
        <v>67</v>
      </c>
      <c r="D74" s="25">
        <v>150</v>
      </c>
      <c r="E74" s="27" t="s">
        <v>731</v>
      </c>
      <c r="F74" s="11" t="s">
        <v>737</v>
      </c>
      <c r="G74" s="63" t="s">
        <v>731</v>
      </c>
    </row>
    <row r="75" spans="2:7" ht="25.5" x14ac:dyDescent="0.2">
      <c r="B75" s="14" t="s">
        <v>69</v>
      </c>
      <c r="C75" s="5" t="s">
        <v>68</v>
      </c>
      <c r="D75" s="25">
        <v>150</v>
      </c>
      <c r="E75" s="27" t="s">
        <v>731</v>
      </c>
      <c r="F75" s="11" t="s">
        <v>737</v>
      </c>
      <c r="G75" s="63" t="s">
        <v>731</v>
      </c>
    </row>
    <row r="76" spans="2:7" x14ac:dyDescent="0.2">
      <c r="B76" s="14" t="s">
        <v>73</v>
      </c>
      <c r="C76" s="5" t="s">
        <v>70</v>
      </c>
      <c r="D76" s="25">
        <v>80</v>
      </c>
      <c r="E76" s="27" t="s">
        <v>730</v>
      </c>
      <c r="F76" s="11">
        <v>80</v>
      </c>
      <c r="G76" s="64">
        <v>80</v>
      </c>
    </row>
    <row r="77" spans="2:7" hidden="1" x14ac:dyDescent="0.2">
      <c r="B77" s="14" t="s">
        <v>73</v>
      </c>
      <c r="C77" s="5" t="s">
        <v>71</v>
      </c>
      <c r="D77" s="25">
        <v>100</v>
      </c>
      <c r="E77" s="27">
        <v>55</v>
      </c>
      <c r="F77" s="11">
        <v>80</v>
      </c>
      <c r="G77" s="26" t="s">
        <v>732</v>
      </c>
    </row>
    <row r="78" spans="2:7" x14ac:dyDescent="0.2">
      <c r="B78" s="14" t="s">
        <v>73</v>
      </c>
      <c r="C78" s="5" t="s">
        <v>72</v>
      </c>
      <c r="D78" s="25">
        <v>50</v>
      </c>
      <c r="E78" s="27">
        <v>45</v>
      </c>
      <c r="F78" s="11">
        <v>50</v>
      </c>
      <c r="G78" s="26">
        <v>50</v>
      </c>
    </row>
    <row r="79" spans="2:7" hidden="1" x14ac:dyDescent="0.2">
      <c r="B79" s="14" t="s">
        <v>74</v>
      </c>
      <c r="C79" s="5" t="s">
        <v>75</v>
      </c>
      <c r="D79" s="25">
        <v>100</v>
      </c>
      <c r="E79" s="27">
        <v>70</v>
      </c>
      <c r="F79" s="11">
        <v>100</v>
      </c>
      <c r="G79" s="26" t="s">
        <v>732</v>
      </c>
    </row>
    <row r="80" spans="2:7" ht="25.5" x14ac:dyDescent="0.2">
      <c r="B80" s="14" t="s">
        <v>74</v>
      </c>
      <c r="C80" s="5" t="s">
        <v>76</v>
      </c>
      <c r="D80" s="25">
        <v>220</v>
      </c>
      <c r="E80" s="27">
        <v>90</v>
      </c>
      <c r="F80" s="11" t="s">
        <v>737</v>
      </c>
      <c r="G80" s="63" t="s">
        <v>731</v>
      </c>
    </row>
    <row r="81" spans="1:12" x14ac:dyDescent="0.2">
      <c r="B81" s="14" t="s">
        <v>18</v>
      </c>
      <c r="C81" s="5" t="s">
        <v>679</v>
      </c>
      <c r="D81" s="25">
        <v>40</v>
      </c>
      <c r="E81" s="27">
        <v>35</v>
      </c>
      <c r="F81" s="11">
        <v>35</v>
      </c>
      <c r="G81" s="26">
        <v>35</v>
      </c>
    </row>
    <row r="82" spans="1:12" ht="12.75" customHeight="1" x14ac:dyDescent="0.2"/>
    <row r="83" spans="1:12" ht="12.75" customHeight="1" x14ac:dyDescent="0.2">
      <c r="A83" s="1"/>
      <c r="B83" s="58" t="s">
        <v>727</v>
      </c>
      <c r="C83" s="58"/>
      <c r="D83" s="58"/>
    </row>
    <row r="88" spans="1:12" x14ac:dyDescent="0.2">
      <c r="L88" s="3" t="s">
        <v>681</v>
      </c>
    </row>
  </sheetData>
  <mergeCells count="5">
    <mergeCell ref="B6:C6"/>
    <mergeCell ref="B83:D83"/>
    <mergeCell ref="B8:D8"/>
    <mergeCell ref="B9:D9"/>
    <mergeCell ref="B7:C7"/>
  </mergeCells>
  <phoneticPr fontId="7" type="noConversion"/>
  <conditionalFormatting sqref="C51:C68">
    <cfRule type="duplicateValues" dxfId="17" priority="41"/>
    <cfRule type="duplicateValues" dxfId="16" priority="43"/>
  </conditionalFormatting>
  <conditionalFormatting sqref="C69">
    <cfRule type="duplicateValues" dxfId="15" priority="7"/>
    <cfRule type="duplicateValues" dxfId="14" priority="8"/>
  </conditionalFormatting>
  <conditionalFormatting sqref="C70:C75">
    <cfRule type="duplicateValues" dxfId="13" priority="36"/>
    <cfRule type="duplicateValues" dxfId="12" priority="37"/>
  </conditionalFormatting>
  <conditionalFormatting sqref="C76:C77">
    <cfRule type="duplicateValues" dxfId="11" priority="5"/>
    <cfRule type="duplicateValues" dxfId="10" priority="6"/>
  </conditionalFormatting>
  <pageMargins left="0.23622047244094491" right="0.23622047244094491" top="0" bottom="0" header="0.31496062992125984" footer="0.31496062992125984"/>
  <pageSetup scale="82" fitToHeight="0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321"/>
  <sheetViews>
    <sheetView showGridLines="0" zoomScale="115" zoomScaleNormal="115" workbookViewId="0">
      <selection activeCell="K75" sqref="K74:K75"/>
    </sheetView>
  </sheetViews>
  <sheetFormatPr baseColWidth="10" defaultColWidth="11.42578125" defaultRowHeight="16.5" customHeight="1" x14ac:dyDescent="0.2"/>
  <cols>
    <col min="1" max="1" width="2.5703125" style="3" customWidth="1"/>
    <col min="2" max="2" width="6.85546875" style="20" customWidth="1"/>
    <col min="3" max="3" width="24.85546875" style="19" customWidth="1"/>
    <col min="4" max="4" width="36.140625" style="3" bestFit="1" customWidth="1"/>
    <col min="5" max="5" width="16.28515625" style="3" customWidth="1"/>
    <col min="6" max="6" width="15.140625" style="3" customWidth="1"/>
    <col min="7" max="7" width="15.7109375" style="3" customWidth="1"/>
    <col min="8" max="8" width="17" style="3" customWidth="1"/>
    <col min="9" max="9" width="11.42578125" style="3"/>
    <col min="10" max="10" width="11.42578125" style="50"/>
    <col min="11" max="16384" width="11.42578125" style="3"/>
  </cols>
  <sheetData>
    <row r="6" spans="2:10" ht="16.5" customHeight="1" x14ac:dyDescent="0.2">
      <c r="B6" s="57" t="str">
        <f>APS!B6</f>
        <v xml:space="preserve">FECHA: 09/03/2026 AL 09/06/2026 </v>
      </c>
      <c r="C6" s="57"/>
      <c r="D6" s="16"/>
      <c r="E6" s="2"/>
    </row>
    <row r="7" spans="2:10" ht="16.5" customHeight="1" x14ac:dyDescent="0.2">
      <c r="B7" s="59" t="s">
        <v>678</v>
      </c>
      <c r="C7" s="59"/>
      <c r="D7" s="16"/>
      <c r="E7" s="2"/>
    </row>
    <row r="8" spans="2:10" ht="16.5" customHeight="1" x14ac:dyDescent="0.2">
      <c r="B8" s="59" t="s">
        <v>729</v>
      </c>
      <c r="C8" s="59"/>
      <c r="D8" s="59"/>
      <c r="E8" s="59"/>
    </row>
    <row r="9" spans="2:10" ht="16.5" customHeight="1" x14ac:dyDescent="0.2">
      <c r="B9" s="58" t="str">
        <f>APS!B9</f>
        <v>REVISIÓN TRIMESTRAL</v>
      </c>
      <c r="C9" s="58"/>
      <c r="D9" s="58"/>
      <c r="E9" s="58"/>
    </row>
    <row r="10" spans="2:10" ht="16.5" customHeight="1" x14ac:dyDescent="0.2">
      <c r="B10" s="17"/>
      <c r="C10" s="9"/>
      <c r="D10" s="23"/>
      <c r="E10" s="9"/>
    </row>
    <row r="11" spans="2:10" s="19" customFormat="1" ht="37.5" customHeight="1" x14ac:dyDescent="0.25">
      <c r="B11" s="21" t="s">
        <v>713</v>
      </c>
      <c r="C11" s="21" t="s">
        <v>717</v>
      </c>
      <c r="D11" s="21" t="s">
        <v>714</v>
      </c>
      <c r="E11" s="21" t="s">
        <v>715</v>
      </c>
      <c r="F11" s="29" t="s">
        <v>735</v>
      </c>
      <c r="G11" s="30" t="s">
        <v>736</v>
      </c>
      <c r="H11" s="61" t="s">
        <v>820</v>
      </c>
      <c r="J11" s="51"/>
    </row>
    <row r="12" spans="2:10" ht="16.5" customHeight="1" x14ac:dyDescent="0.2">
      <c r="B12" s="22" t="s">
        <v>361</v>
      </c>
      <c r="C12" s="22" t="s">
        <v>79</v>
      </c>
      <c r="D12" s="5" t="s">
        <v>362</v>
      </c>
      <c r="E12" s="53">
        <v>10.650095006697194</v>
      </c>
      <c r="F12" s="26" t="s">
        <v>730</v>
      </c>
      <c r="G12" s="32">
        <v>10.650095006697194</v>
      </c>
      <c r="H12" s="60">
        <v>10.650095006697194</v>
      </c>
    </row>
    <row r="13" spans="2:10" ht="12.75" x14ac:dyDescent="0.2">
      <c r="B13" s="22" t="s">
        <v>363</v>
      </c>
      <c r="C13" s="22" t="s">
        <v>79</v>
      </c>
      <c r="D13" s="5" t="s">
        <v>364</v>
      </c>
      <c r="E13" s="53">
        <v>11.350091891723515</v>
      </c>
      <c r="F13" s="26" t="s">
        <v>730</v>
      </c>
      <c r="G13" s="32">
        <v>11.350091891723515</v>
      </c>
      <c r="H13" s="60">
        <v>11.350091891723515</v>
      </c>
    </row>
    <row r="14" spans="2:10" ht="19.5" customHeight="1" x14ac:dyDescent="0.2">
      <c r="B14" s="22" t="s">
        <v>365</v>
      </c>
      <c r="C14" s="22" t="s">
        <v>79</v>
      </c>
      <c r="D14" s="5" t="s">
        <v>366</v>
      </c>
      <c r="E14" s="53">
        <v>10.650095006697194</v>
      </c>
      <c r="F14" s="26" t="s">
        <v>730</v>
      </c>
      <c r="G14" s="32">
        <v>10.650095006697194</v>
      </c>
      <c r="H14" s="60">
        <v>10.650095006697194</v>
      </c>
    </row>
    <row r="15" spans="2:10" ht="16.5" customHeight="1" x14ac:dyDescent="0.2">
      <c r="B15" s="22" t="s">
        <v>367</v>
      </c>
      <c r="C15" s="22" t="s">
        <v>79</v>
      </c>
      <c r="D15" s="5" t="s">
        <v>368</v>
      </c>
      <c r="E15" s="53">
        <v>12.750085661776158</v>
      </c>
      <c r="F15" s="26" t="s">
        <v>730</v>
      </c>
      <c r="G15" s="32">
        <v>12.750085661776158</v>
      </c>
      <c r="H15" s="60">
        <v>12.750085661776158</v>
      </c>
    </row>
    <row r="16" spans="2:10" ht="16.5" hidden="1" customHeight="1" x14ac:dyDescent="0.2">
      <c r="B16" s="22" t="s">
        <v>90</v>
      </c>
      <c r="C16" s="22" t="s">
        <v>79</v>
      </c>
      <c r="D16" s="5" t="s">
        <v>91</v>
      </c>
      <c r="E16" s="53">
        <v>49.150359779459869</v>
      </c>
      <c r="F16" s="26">
        <v>25</v>
      </c>
      <c r="G16" s="31" t="s">
        <v>732</v>
      </c>
      <c r="H16" s="60" t="s">
        <v>732</v>
      </c>
    </row>
    <row r="17" spans="2:9" ht="16.5" hidden="1" customHeight="1" x14ac:dyDescent="0.2">
      <c r="B17" s="22" t="s">
        <v>628</v>
      </c>
      <c r="C17" s="22" t="s">
        <v>79</v>
      </c>
      <c r="D17" s="5" t="s">
        <v>629</v>
      </c>
      <c r="E17" s="53">
        <v>118.27586206896552</v>
      </c>
      <c r="F17" s="26" t="s">
        <v>732</v>
      </c>
      <c r="G17" s="31" t="s">
        <v>732</v>
      </c>
      <c r="H17" s="60" t="s">
        <v>732</v>
      </c>
    </row>
    <row r="18" spans="2:9" ht="16.5" hidden="1" customHeight="1" x14ac:dyDescent="0.2">
      <c r="B18" s="22" t="s">
        <v>92</v>
      </c>
      <c r="C18" s="22" t="s">
        <v>79</v>
      </c>
      <c r="D18" s="5" t="s">
        <v>93</v>
      </c>
      <c r="E18" s="53">
        <v>56.525433760084731</v>
      </c>
      <c r="F18" s="26">
        <v>40</v>
      </c>
      <c r="G18" s="31">
        <v>50</v>
      </c>
      <c r="H18" s="60" t="s">
        <v>732</v>
      </c>
      <c r="I18" s="49"/>
    </row>
    <row r="19" spans="2:9" ht="16.5" hidden="1" customHeight="1" x14ac:dyDescent="0.2">
      <c r="B19" s="22" t="s">
        <v>94</v>
      </c>
      <c r="C19" s="22" t="s">
        <v>79</v>
      </c>
      <c r="D19" s="5" t="s">
        <v>95</v>
      </c>
      <c r="E19" s="53">
        <v>56.525433760084731</v>
      </c>
      <c r="F19" s="26">
        <v>40</v>
      </c>
      <c r="G19" s="31">
        <v>50</v>
      </c>
      <c r="H19" s="60" t="s">
        <v>732</v>
      </c>
      <c r="I19" s="49"/>
    </row>
    <row r="20" spans="2:9" ht="16.5" hidden="1" customHeight="1" x14ac:dyDescent="0.2">
      <c r="B20" s="22" t="s">
        <v>96</v>
      </c>
      <c r="C20" s="22" t="s">
        <v>79</v>
      </c>
      <c r="D20" s="5" t="s">
        <v>97</v>
      </c>
      <c r="E20" s="53">
        <v>58.950440768775508</v>
      </c>
      <c r="F20" s="26">
        <v>40</v>
      </c>
      <c r="G20" s="31">
        <v>52</v>
      </c>
      <c r="H20" s="60" t="s">
        <v>732</v>
      </c>
      <c r="I20" s="49"/>
    </row>
    <row r="21" spans="2:9" ht="16.5" hidden="1" customHeight="1" x14ac:dyDescent="0.2">
      <c r="B21" s="22" t="s">
        <v>98</v>
      </c>
      <c r="C21" s="22" t="s">
        <v>79</v>
      </c>
      <c r="D21" s="5" t="s">
        <v>99</v>
      </c>
      <c r="E21" s="53">
        <v>63.025511634426699</v>
      </c>
      <c r="F21" s="26">
        <v>40</v>
      </c>
      <c r="G21" s="31" t="s">
        <v>732</v>
      </c>
      <c r="H21" s="60" t="s">
        <v>732</v>
      </c>
    </row>
    <row r="22" spans="2:9" ht="16.5" hidden="1" customHeight="1" x14ac:dyDescent="0.2">
      <c r="B22" s="22" t="s">
        <v>100</v>
      </c>
      <c r="C22" s="22" t="s">
        <v>79</v>
      </c>
      <c r="D22" s="5" t="s">
        <v>101</v>
      </c>
      <c r="E22" s="53">
        <v>77.700526430551676</v>
      </c>
      <c r="F22" s="26">
        <v>40</v>
      </c>
      <c r="G22" s="31" t="s">
        <v>732</v>
      </c>
      <c r="H22" s="60" t="s">
        <v>732</v>
      </c>
    </row>
    <row r="23" spans="2:9" ht="16.5" hidden="1" customHeight="1" x14ac:dyDescent="0.2">
      <c r="B23" s="22" t="s">
        <v>102</v>
      </c>
      <c r="C23" s="22" t="s">
        <v>79</v>
      </c>
      <c r="D23" s="5" t="s">
        <v>103</v>
      </c>
      <c r="E23" s="53">
        <v>56.525433760084731</v>
      </c>
      <c r="F23" s="26">
        <v>40</v>
      </c>
      <c r="G23" s="31">
        <v>50</v>
      </c>
      <c r="H23" s="60" t="s">
        <v>732</v>
      </c>
    </row>
    <row r="24" spans="2:9" ht="16.5" hidden="1" customHeight="1" x14ac:dyDescent="0.2">
      <c r="B24" s="22" t="s">
        <v>104</v>
      </c>
      <c r="C24" s="22" t="s">
        <v>79</v>
      </c>
      <c r="D24" s="5" t="s">
        <v>105</v>
      </c>
      <c r="E24" s="53">
        <v>56.525433760084731</v>
      </c>
      <c r="F24" s="26">
        <v>40</v>
      </c>
      <c r="G24" s="31">
        <v>50</v>
      </c>
      <c r="H24" s="60" t="s">
        <v>732</v>
      </c>
    </row>
    <row r="25" spans="2:9" ht="16.5" hidden="1" customHeight="1" x14ac:dyDescent="0.2">
      <c r="B25" s="22" t="s">
        <v>106</v>
      </c>
      <c r="C25" s="22" t="s">
        <v>79</v>
      </c>
      <c r="D25" s="5" t="s">
        <v>107</v>
      </c>
      <c r="E25" s="53">
        <v>56.525433760084731</v>
      </c>
      <c r="F25" s="26">
        <v>40</v>
      </c>
      <c r="G25" s="31">
        <v>50</v>
      </c>
      <c r="H25" s="60" t="s">
        <v>732</v>
      </c>
    </row>
    <row r="26" spans="2:9" ht="16.5" hidden="1" customHeight="1" x14ac:dyDescent="0.2">
      <c r="B26" s="22" t="s">
        <v>108</v>
      </c>
      <c r="C26" s="22" t="s">
        <v>79</v>
      </c>
      <c r="D26" s="5" t="s">
        <v>109</v>
      </c>
      <c r="E26" s="53">
        <v>56.525433760084731</v>
      </c>
      <c r="F26" s="26">
        <v>40</v>
      </c>
      <c r="G26" s="31">
        <v>50</v>
      </c>
      <c r="H26" s="60" t="s">
        <v>732</v>
      </c>
    </row>
    <row r="27" spans="2:9" ht="16.5" hidden="1" customHeight="1" x14ac:dyDescent="0.2">
      <c r="B27" s="22" t="s">
        <v>110</v>
      </c>
      <c r="C27" s="22" t="s">
        <v>79</v>
      </c>
      <c r="D27" s="5" t="s">
        <v>111</v>
      </c>
      <c r="E27" s="53">
        <v>51.250350434538838</v>
      </c>
      <c r="F27" s="26">
        <v>40</v>
      </c>
      <c r="G27" s="31" t="s">
        <v>732</v>
      </c>
      <c r="H27" s="60" t="s">
        <v>732</v>
      </c>
    </row>
    <row r="28" spans="2:9" ht="16.5" hidden="1" customHeight="1" x14ac:dyDescent="0.2">
      <c r="B28" s="22" t="s">
        <v>112</v>
      </c>
      <c r="C28" s="22" t="s">
        <v>79</v>
      </c>
      <c r="D28" s="5" t="s">
        <v>113</v>
      </c>
      <c r="E28" s="53">
        <v>56.525433760084731</v>
      </c>
      <c r="F28" s="26">
        <v>40</v>
      </c>
      <c r="G28" s="31">
        <v>50</v>
      </c>
      <c r="H28" s="60" t="s">
        <v>732</v>
      </c>
    </row>
    <row r="29" spans="2:9" ht="16.5" hidden="1" customHeight="1" x14ac:dyDescent="0.2">
      <c r="B29" s="22" t="s">
        <v>114</v>
      </c>
      <c r="C29" s="22" t="s">
        <v>79</v>
      </c>
      <c r="D29" s="5" t="s">
        <v>115</v>
      </c>
      <c r="E29" s="53">
        <v>41.425349655795415</v>
      </c>
      <c r="F29" s="26">
        <v>40</v>
      </c>
      <c r="G29" s="31" t="s">
        <v>732</v>
      </c>
      <c r="H29" s="60" t="s">
        <v>732</v>
      </c>
    </row>
    <row r="30" spans="2:9" ht="16.5" hidden="1" customHeight="1" x14ac:dyDescent="0.2">
      <c r="B30" s="22" t="s">
        <v>116</v>
      </c>
      <c r="C30" s="22" t="s">
        <v>79</v>
      </c>
      <c r="D30" s="5" t="s">
        <v>117</v>
      </c>
      <c r="E30" s="53">
        <v>56.525433760084731</v>
      </c>
      <c r="F30" s="26">
        <v>40</v>
      </c>
      <c r="G30" s="31">
        <v>50</v>
      </c>
      <c r="H30" s="60" t="s">
        <v>732</v>
      </c>
    </row>
    <row r="31" spans="2:9" ht="16.5" hidden="1" customHeight="1" x14ac:dyDescent="0.2">
      <c r="B31" s="22" t="s">
        <v>118</v>
      </c>
      <c r="C31" s="22" t="s">
        <v>79</v>
      </c>
      <c r="D31" s="5" t="s">
        <v>119</v>
      </c>
      <c r="E31" s="53">
        <v>56.525433760084731</v>
      </c>
      <c r="F31" s="26">
        <v>40</v>
      </c>
      <c r="G31" s="31">
        <v>50</v>
      </c>
      <c r="H31" s="60" t="s">
        <v>732</v>
      </c>
    </row>
    <row r="32" spans="2:9" ht="16.5" hidden="1" customHeight="1" x14ac:dyDescent="0.2">
      <c r="B32" s="22" t="s">
        <v>138</v>
      </c>
      <c r="C32" s="22" t="s">
        <v>79</v>
      </c>
      <c r="D32" s="5" t="s">
        <v>139</v>
      </c>
      <c r="E32" s="53">
        <v>56.525433760084731</v>
      </c>
      <c r="F32" s="26">
        <v>40</v>
      </c>
      <c r="G32" s="31">
        <v>50</v>
      </c>
      <c r="H32" s="60" t="s">
        <v>732</v>
      </c>
    </row>
    <row r="33" spans="2:8" ht="16.5" hidden="1" customHeight="1" x14ac:dyDescent="0.2">
      <c r="B33" s="22" t="s">
        <v>120</v>
      </c>
      <c r="C33" s="22" t="s">
        <v>79</v>
      </c>
      <c r="D33" s="5" t="s">
        <v>121</v>
      </c>
      <c r="E33" s="53">
        <v>56.525433760084731</v>
      </c>
      <c r="F33" s="26">
        <v>40</v>
      </c>
      <c r="G33" s="31">
        <v>50</v>
      </c>
      <c r="H33" s="60" t="s">
        <v>732</v>
      </c>
    </row>
    <row r="34" spans="2:8" ht="16.5" hidden="1" customHeight="1" x14ac:dyDescent="0.2">
      <c r="B34" s="22" t="s">
        <v>122</v>
      </c>
      <c r="C34" s="22" t="s">
        <v>79</v>
      </c>
      <c r="D34" s="5" t="s">
        <v>123</v>
      </c>
      <c r="E34" s="53">
        <v>41.425349655795415</v>
      </c>
      <c r="F34" s="26">
        <v>40</v>
      </c>
      <c r="G34" s="31">
        <v>40</v>
      </c>
      <c r="H34" s="60" t="s">
        <v>732</v>
      </c>
    </row>
    <row r="35" spans="2:8" ht="16.5" hidden="1" customHeight="1" x14ac:dyDescent="0.2">
      <c r="B35" s="22" t="s">
        <v>124</v>
      </c>
      <c r="C35" s="22" t="s">
        <v>79</v>
      </c>
      <c r="D35" s="5" t="s">
        <v>125</v>
      </c>
      <c r="E35" s="53">
        <v>56.525433760084731</v>
      </c>
      <c r="F35" s="26">
        <v>40</v>
      </c>
      <c r="G35" s="31">
        <v>50</v>
      </c>
      <c r="H35" s="60" t="s">
        <v>732</v>
      </c>
    </row>
    <row r="36" spans="2:8" ht="16.5" hidden="1" customHeight="1" x14ac:dyDescent="0.2">
      <c r="B36" s="22" t="s">
        <v>126</v>
      </c>
      <c r="C36" s="22" t="s">
        <v>79</v>
      </c>
      <c r="D36" s="5" t="s">
        <v>127</v>
      </c>
      <c r="E36" s="53">
        <v>56.525433760084731</v>
      </c>
      <c r="F36" s="26">
        <v>40</v>
      </c>
      <c r="G36" s="31">
        <v>50</v>
      </c>
      <c r="H36" s="60" t="s">
        <v>732</v>
      </c>
    </row>
    <row r="37" spans="2:8" ht="16.5" hidden="1" customHeight="1" x14ac:dyDescent="0.2">
      <c r="B37" s="22" t="s">
        <v>128</v>
      </c>
      <c r="C37" s="22" t="s">
        <v>79</v>
      </c>
      <c r="D37" s="5" t="s">
        <v>129</v>
      </c>
      <c r="E37" s="53">
        <v>56.525433760084731</v>
      </c>
      <c r="F37" s="26">
        <v>40</v>
      </c>
      <c r="G37" s="31">
        <v>50</v>
      </c>
      <c r="H37" s="60" t="s">
        <v>732</v>
      </c>
    </row>
    <row r="38" spans="2:8" ht="16.5" hidden="1" customHeight="1" x14ac:dyDescent="0.2">
      <c r="B38" s="22" t="s">
        <v>130</v>
      </c>
      <c r="C38" s="22" t="s">
        <v>79</v>
      </c>
      <c r="D38" s="5" t="s">
        <v>131</v>
      </c>
      <c r="E38" s="53">
        <v>56.525433760084731</v>
      </c>
      <c r="F38" s="26">
        <v>40</v>
      </c>
      <c r="G38" s="31">
        <v>50</v>
      </c>
      <c r="H38" s="60" t="s">
        <v>732</v>
      </c>
    </row>
    <row r="39" spans="2:8" ht="16.5" hidden="1" customHeight="1" x14ac:dyDescent="0.2">
      <c r="B39" s="22" t="s">
        <v>132</v>
      </c>
      <c r="C39" s="22" t="s">
        <v>79</v>
      </c>
      <c r="D39" s="5" t="s">
        <v>133</v>
      </c>
      <c r="E39" s="53">
        <v>41.425349655795415</v>
      </c>
      <c r="F39" s="26">
        <v>40</v>
      </c>
      <c r="G39" s="31" t="s">
        <v>732</v>
      </c>
      <c r="H39" s="60" t="s">
        <v>732</v>
      </c>
    </row>
    <row r="40" spans="2:8" ht="16.5" hidden="1" customHeight="1" x14ac:dyDescent="0.2">
      <c r="B40" s="22" t="s">
        <v>134</v>
      </c>
      <c r="C40" s="22" t="s">
        <v>79</v>
      </c>
      <c r="D40" s="5" t="s">
        <v>135</v>
      </c>
      <c r="E40" s="53">
        <v>56.525433760084731</v>
      </c>
      <c r="F40" s="26">
        <v>40</v>
      </c>
      <c r="G40" s="31" t="s">
        <v>732</v>
      </c>
      <c r="H40" s="60" t="s">
        <v>732</v>
      </c>
    </row>
    <row r="41" spans="2:8" ht="16.5" hidden="1" customHeight="1" x14ac:dyDescent="0.2">
      <c r="B41" s="22" t="s">
        <v>136</v>
      </c>
      <c r="C41" s="22" t="s">
        <v>79</v>
      </c>
      <c r="D41" s="5" t="s">
        <v>137</v>
      </c>
      <c r="E41" s="53">
        <v>111.55082079556429</v>
      </c>
      <c r="F41" s="26">
        <v>50</v>
      </c>
      <c r="G41" s="31" t="s">
        <v>732</v>
      </c>
      <c r="H41" s="60" t="s">
        <v>732</v>
      </c>
    </row>
    <row r="42" spans="2:8" ht="16.5" hidden="1" customHeight="1" x14ac:dyDescent="0.2">
      <c r="B42" s="22" t="s">
        <v>472</v>
      </c>
      <c r="C42" s="22" t="s">
        <v>79</v>
      </c>
      <c r="D42" s="5" t="s">
        <v>473</v>
      </c>
      <c r="E42" s="53">
        <v>60.050400274117685</v>
      </c>
      <c r="F42" s="26">
        <v>40</v>
      </c>
      <c r="G42" s="31" t="s">
        <v>732</v>
      </c>
      <c r="H42" s="60" t="s">
        <v>732</v>
      </c>
    </row>
    <row r="43" spans="2:8" ht="16.5" hidden="1" customHeight="1" x14ac:dyDescent="0.2">
      <c r="B43" s="22" t="s">
        <v>682</v>
      </c>
      <c r="C43" s="22" t="s">
        <v>79</v>
      </c>
      <c r="D43" s="5" t="s">
        <v>683</v>
      </c>
      <c r="E43" s="53">
        <v>29.025200137058842</v>
      </c>
      <c r="F43" s="26" t="s">
        <v>733</v>
      </c>
      <c r="G43" s="31" t="s">
        <v>732</v>
      </c>
      <c r="H43" s="60" t="s">
        <v>733</v>
      </c>
    </row>
    <row r="44" spans="2:8" ht="16.5" customHeight="1" x14ac:dyDescent="0.2">
      <c r="B44" s="22" t="s">
        <v>77</v>
      </c>
      <c r="C44" s="22" t="s">
        <v>79</v>
      </c>
      <c r="D44" s="5" t="s">
        <v>78</v>
      </c>
      <c r="E44" s="53">
        <v>40.750272560196869</v>
      </c>
      <c r="F44" s="26" t="s">
        <v>730</v>
      </c>
      <c r="G44" s="32">
        <v>40.750272560196869</v>
      </c>
      <c r="H44" s="60">
        <v>40.750272560196869</v>
      </c>
    </row>
    <row r="45" spans="2:8" ht="16.5" customHeight="1" x14ac:dyDescent="0.2">
      <c r="B45" s="22" t="s">
        <v>80</v>
      </c>
      <c r="C45" s="22" t="s">
        <v>79</v>
      </c>
      <c r="D45" s="5" t="s">
        <v>81</v>
      </c>
      <c r="E45" s="53">
        <v>18.000186898420711</v>
      </c>
      <c r="F45" s="26" t="s">
        <v>730</v>
      </c>
      <c r="G45" s="32">
        <v>18.000186898420711</v>
      </c>
      <c r="H45" s="60">
        <v>18.000186898420711</v>
      </c>
    </row>
    <row r="46" spans="2:8" ht="16.5" customHeight="1" x14ac:dyDescent="0.2">
      <c r="B46" s="22" t="s">
        <v>82</v>
      </c>
      <c r="C46" s="22" t="s">
        <v>79</v>
      </c>
      <c r="D46" s="5" t="s">
        <v>83</v>
      </c>
      <c r="E46" s="53">
        <v>18.000186898420711</v>
      </c>
      <c r="F46" s="26" t="s">
        <v>730</v>
      </c>
      <c r="G46" s="32">
        <v>18.000186898420711</v>
      </c>
      <c r="H46" s="60">
        <v>18.000186898420711</v>
      </c>
    </row>
    <row r="47" spans="2:8" ht="16.5" customHeight="1" x14ac:dyDescent="0.2">
      <c r="B47" s="22" t="s">
        <v>297</v>
      </c>
      <c r="C47" s="22" t="s">
        <v>89</v>
      </c>
      <c r="D47" s="5" t="s">
        <v>298</v>
      </c>
      <c r="E47" s="53">
        <v>8.1000529545525346</v>
      </c>
      <c r="F47" s="26" t="s">
        <v>730</v>
      </c>
      <c r="G47" s="32">
        <v>8.1000529545525346</v>
      </c>
      <c r="H47" s="60">
        <v>8.1000529545525346</v>
      </c>
    </row>
    <row r="48" spans="2:8" ht="16.5" customHeight="1" x14ac:dyDescent="0.2">
      <c r="B48" s="22" t="s">
        <v>299</v>
      </c>
      <c r="C48" s="22" t="s">
        <v>89</v>
      </c>
      <c r="D48" s="5" t="s">
        <v>300</v>
      </c>
      <c r="E48" s="53">
        <v>9.7750989004142923</v>
      </c>
      <c r="F48" s="26" t="s">
        <v>730</v>
      </c>
      <c r="G48" s="32">
        <v>9.7750989004142923</v>
      </c>
      <c r="H48" s="60">
        <v>9.7750989004142923</v>
      </c>
    </row>
    <row r="49" spans="2:8" ht="17.25" customHeight="1" x14ac:dyDescent="0.2">
      <c r="B49" s="22" t="s">
        <v>270</v>
      </c>
      <c r="C49" s="22" t="s">
        <v>89</v>
      </c>
      <c r="D49" s="5" t="s">
        <v>271</v>
      </c>
      <c r="E49" s="53">
        <v>19.4751269351774</v>
      </c>
      <c r="F49" s="26">
        <v>15</v>
      </c>
      <c r="G49" s="32">
        <v>18</v>
      </c>
      <c r="H49" s="56">
        <v>18</v>
      </c>
    </row>
    <row r="50" spans="2:8" ht="16.5" customHeight="1" x14ac:dyDescent="0.2">
      <c r="B50" s="22" t="s">
        <v>316</v>
      </c>
      <c r="C50" s="22" t="s">
        <v>89</v>
      </c>
      <c r="D50" s="5" t="s">
        <v>317</v>
      </c>
      <c r="E50" s="53">
        <v>7.3250475033485971</v>
      </c>
      <c r="F50" s="26" t="s">
        <v>730</v>
      </c>
      <c r="G50" s="32">
        <v>7.3250475033485971</v>
      </c>
      <c r="H50" s="60">
        <v>7.3250475033485971</v>
      </c>
    </row>
    <row r="51" spans="2:8" ht="16.5" customHeight="1" x14ac:dyDescent="0.2">
      <c r="B51" s="22" t="s">
        <v>318</v>
      </c>
      <c r="C51" s="22" t="s">
        <v>89</v>
      </c>
      <c r="D51" s="5" t="s">
        <v>319</v>
      </c>
      <c r="E51" s="53">
        <v>9.9990655078964596E-2</v>
      </c>
      <c r="F51" s="26" t="s">
        <v>730</v>
      </c>
      <c r="G51" s="32">
        <v>9.9990655078964596E-2</v>
      </c>
      <c r="H51" s="60">
        <v>9.9990655078964596E-2</v>
      </c>
    </row>
    <row r="52" spans="2:8" ht="16.5" customHeight="1" x14ac:dyDescent="0.2">
      <c r="B52" s="22" t="s">
        <v>320</v>
      </c>
      <c r="C52" s="22" t="s">
        <v>89</v>
      </c>
      <c r="D52" s="5" t="s">
        <v>321</v>
      </c>
      <c r="E52" s="53">
        <v>7.3250475033485971</v>
      </c>
      <c r="F52" s="26" t="s">
        <v>730</v>
      </c>
      <c r="G52" s="32">
        <v>7.3250475033485971</v>
      </c>
      <c r="H52" s="60">
        <v>7.3250475033485971</v>
      </c>
    </row>
    <row r="53" spans="2:8" ht="16.5" customHeight="1" x14ac:dyDescent="0.2">
      <c r="B53" s="22" t="s">
        <v>87</v>
      </c>
      <c r="C53" s="22" t="s">
        <v>89</v>
      </c>
      <c r="D53" s="5" t="s">
        <v>88</v>
      </c>
      <c r="E53" s="53">
        <v>7.6500638569604096</v>
      </c>
      <c r="F53" s="26" t="s">
        <v>730</v>
      </c>
      <c r="G53" s="32">
        <v>7.6500638569604096</v>
      </c>
      <c r="H53" s="60">
        <v>7.6500638569604096</v>
      </c>
    </row>
    <row r="54" spans="2:8" ht="16.5" customHeight="1" x14ac:dyDescent="0.2">
      <c r="B54" s="22" t="s">
        <v>339</v>
      </c>
      <c r="C54" s="22" t="s">
        <v>89</v>
      </c>
      <c r="D54" s="5" t="s">
        <v>340</v>
      </c>
      <c r="E54" s="53">
        <v>7.3500295922499461</v>
      </c>
      <c r="F54" s="26" t="s">
        <v>730</v>
      </c>
      <c r="G54" s="32">
        <v>7.3500295922499461</v>
      </c>
      <c r="H54" s="60">
        <v>7.3500295922499461</v>
      </c>
    </row>
    <row r="55" spans="2:8" ht="16.5" hidden="1" customHeight="1" x14ac:dyDescent="0.2">
      <c r="B55" s="22" t="s">
        <v>345</v>
      </c>
      <c r="C55" s="22" t="s">
        <v>89</v>
      </c>
      <c r="D55" s="5" t="s">
        <v>346</v>
      </c>
      <c r="E55" s="53">
        <v>75.275581721334461</v>
      </c>
      <c r="F55" s="26" t="s">
        <v>733</v>
      </c>
      <c r="G55" s="31" t="s">
        <v>732</v>
      </c>
      <c r="H55" s="26" t="s">
        <v>733</v>
      </c>
    </row>
    <row r="56" spans="2:8" ht="16.5" hidden="1" customHeight="1" x14ac:dyDescent="0.2">
      <c r="B56" s="22" t="s">
        <v>341</v>
      </c>
      <c r="C56" s="22" t="s">
        <v>89</v>
      </c>
      <c r="D56" s="5" t="s">
        <v>342</v>
      </c>
      <c r="E56" s="53">
        <v>57.02544933495313</v>
      </c>
      <c r="F56" s="26" t="s">
        <v>733</v>
      </c>
      <c r="G56" s="31" t="s">
        <v>732</v>
      </c>
      <c r="H56" s="26" t="s">
        <v>733</v>
      </c>
    </row>
    <row r="57" spans="2:8" ht="16.5" hidden="1" customHeight="1" x14ac:dyDescent="0.2">
      <c r="B57" s="22" t="s">
        <v>343</v>
      </c>
      <c r="C57" s="22" t="s">
        <v>89</v>
      </c>
      <c r="D57" s="5" t="s">
        <v>344</v>
      </c>
      <c r="E57" s="53">
        <v>42.150328629723084</v>
      </c>
      <c r="F57" s="26" t="s">
        <v>733</v>
      </c>
      <c r="G57" s="31" t="s">
        <v>732</v>
      </c>
      <c r="H57" s="26" t="s">
        <v>733</v>
      </c>
    </row>
    <row r="58" spans="2:8" ht="16.5" customHeight="1" x14ac:dyDescent="0.2">
      <c r="B58" s="22" t="s">
        <v>351</v>
      </c>
      <c r="C58" s="22" t="s">
        <v>89</v>
      </c>
      <c r="D58" s="5" t="s">
        <v>352</v>
      </c>
      <c r="E58" s="53">
        <v>8.5750864405195788</v>
      </c>
      <c r="F58" s="26" t="s">
        <v>730</v>
      </c>
      <c r="G58" s="32">
        <v>8.5750864405195788</v>
      </c>
      <c r="H58" s="60">
        <v>8.5750864405195788</v>
      </c>
    </row>
    <row r="59" spans="2:8" ht="16.5" customHeight="1" x14ac:dyDescent="0.2">
      <c r="B59" s="22" t="s">
        <v>353</v>
      </c>
      <c r="C59" s="22" t="s">
        <v>89</v>
      </c>
      <c r="D59" s="5" t="s">
        <v>354</v>
      </c>
      <c r="E59" s="53">
        <v>6.9750490608354356</v>
      </c>
      <c r="F59" s="26" t="s">
        <v>730</v>
      </c>
      <c r="G59" s="32">
        <v>6.9750490608354356</v>
      </c>
      <c r="H59" s="60">
        <v>6.9750490608354356</v>
      </c>
    </row>
    <row r="60" spans="2:8" ht="16.5" customHeight="1" x14ac:dyDescent="0.2">
      <c r="B60" s="22" t="s">
        <v>355</v>
      </c>
      <c r="C60" s="22" t="s">
        <v>89</v>
      </c>
      <c r="D60" s="5" t="s">
        <v>356</v>
      </c>
      <c r="E60" s="53">
        <v>7.0500576270130528</v>
      </c>
      <c r="F60" s="26" t="s">
        <v>730</v>
      </c>
      <c r="G60" s="32">
        <v>7.0500576270130528</v>
      </c>
      <c r="H60" s="60">
        <v>7.0500576270130528</v>
      </c>
    </row>
    <row r="61" spans="2:8" ht="16.5" customHeight="1" x14ac:dyDescent="0.2">
      <c r="B61" s="22" t="s">
        <v>357</v>
      </c>
      <c r="C61" s="22" t="s">
        <v>89</v>
      </c>
      <c r="D61" s="5" t="s">
        <v>358</v>
      </c>
      <c r="E61" s="53">
        <v>6.9750490608354356</v>
      </c>
      <c r="F61" s="26" t="s">
        <v>730</v>
      </c>
      <c r="G61" s="32">
        <v>6.9750490608354356</v>
      </c>
      <c r="H61" s="60">
        <v>6.9750490608354356</v>
      </c>
    </row>
    <row r="62" spans="2:8" ht="16.5" customHeight="1" x14ac:dyDescent="0.2">
      <c r="B62" s="22" t="s">
        <v>373</v>
      </c>
      <c r="C62" s="22" t="s">
        <v>89</v>
      </c>
      <c r="D62" s="5" t="s">
        <v>374</v>
      </c>
      <c r="E62" s="53">
        <v>8.8750584057564712</v>
      </c>
      <c r="F62" s="26" t="s">
        <v>730</v>
      </c>
      <c r="G62" s="32">
        <v>8.8750584057564712</v>
      </c>
      <c r="H62" s="60">
        <v>8.8750584057564712</v>
      </c>
    </row>
    <row r="63" spans="2:8" ht="16.5" customHeight="1" x14ac:dyDescent="0.2">
      <c r="B63" s="22" t="s">
        <v>383</v>
      </c>
      <c r="C63" s="22" t="s">
        <v>89</v>
      </c>
      <c r="D63" s="5" t="s">
        <v>384</v>
      </c>
      <c r="E63" s="53">
        <v>8.8750584057564712</v>
      </c>
      <c r="F63" s="26" t="s">
        <v>730</v>
      </c>
      <c r="G63" s="32">
        <v>8.8750584057564712</v>
      </c>
      <c r="H63" s="60">
        <v>8.8750584057564712</v>
      </c>
    </row>
    <row r="64" spans="2:8" ht="16.5" customHeight="1" x14ac:dyDescent="0.2">
      <c r="B64" s="22" t="s">
        <v>387</v>
      </c>
      <c r="C64" s="22" t="s">
        <v>89</v>
      </c>
      <c r="D64" s="5" t="s">
        <v>388</v>
      </c>
      <c r="E64" s="53">
        <v>9.950098121670873</v>
      </c>
      <c r="F64" s="26" t="s">
        <v>730</v>
      </c>
      <c r="G64" s="32">
        <v>9.950098121670873</v>
      </c>
      <c r="H64" s="60">
        <v>9.950098121670873</v>
      </c>
    </row>
    <row r="65" spans="2:8" ht="16.5" hidden="1" customHeight="1" x14ac:dyDescent="0.2">
      <c r="B65" s="22" t="s">
        <v>226</v>
      </c>
      <c r="C65" s="22" t="s">
        <v>89</v>
      </c>
      <c r="D65" s="5" t="s">
        <v>670</v>
      </c>
      <c r="E65" s="53">
        <v>64.509391645640605</v>
      </c>
      <c r="F65" s="26" t="s">
        <v>732</v>
      </c>
      <c r="G65" s="31" t="s">
        <v>732</v>
      </c>
      <c r="H65" s="26" t="s">
        <v>732</v>
      </c>
    </row>
    <row r="66" spans="2:8" ht="16.5" customHeight="1" x14ac:dyDescent="0.2">
      <c r="B66" s="22" t="s">
        <v>140</v>
      </c>
      <c r="C66" s="22" t="s">
        <v>89</v>
      </c>
      <c r="D66" s="5" t="s">
        <v>141</v>
      </c>
      <c r="E66" s="53">
        <v>10.750085661776158</v>
      </c>
      <c r="F66" s="26" t="s">
        <v>730</v>
      </c>
      <c r="G66" s="32">
        <v>10.750085661776158</v>
      </c>
      <c r="H66" s="60">
        <v>10.750085661776158</v>
      </c>
    </row>
    <row r="67" spans="2:8" ht="16.5" customHeight="1" x14ac:dyDescent="0.2">
      <c r="B67" s="22" t="s">
        <v>684</v>
      </c>
      <c r="C67" s="22" t="s">
        <v>89</v>
      </c>
      <c r="D67" s="5" t="s">
        <v>685</v>
      </c>
      <c r="E67" s="53">
        <v>13.900071644394606</v>
      </c>
      <c r="F67" s="26" t="s">
        <v>730</v>
      </c>
      <c r="G67" s="32">
        <v>13.900071644394606</v>
      </c>
      <c r="H67" s="60">
        <v>13.900071644394606</v>
      </c>
    </row>
    <row r="68" spans="2:8" ht="16.5" customHeight="1" x14ac:dyDescent="0.2">
      <c r="B68" s="22" t="s">
        <v>414</v>
      </c>
      <c r="C68" s="22" t="s">
        <v>89</v>
      </c>
      <c r="D68" s="5" t="s">
        <v>415</v>
      </c>
      <c r="E68" s="53">
        <v>3.1500482820920164</v>
      </c>
      <c r="F68" s="26" t="s">
        <v>730</v>
      </c>
      <c r="G68" s="32">
        <v>3.1500482820920164</v>
      </c>
      <c r="H68" s="60">
        <v>3.1500482820920164</v>
      </c>
    </row>
    <row r="69" spans="2:8" ht="16.5" customHeight="1" x14ac:dyDescent="0.2">
      <c r="B69" s="22" t="s">
        <v>424</v>
      </c>
      <c r="C69" s="22" t="s">
        <v>89</v>
      </c>
      <c r="D69" s="5" t="s">
        <v>425</v>
      </c>
      <c r="E69" s="53">
        <v>7.6500638569604096</v>
      </c>
      <c r="F69" s="26" t="s">
        <v>730</v>
      </c>
      <c r="G69" s="32">
        <v>7.6500638569604096</v>
      </c>
      <c r="H69" s="60">
        <v>7.6500638569604096</v>
      </c>
    </row>
    <row r="70" spans="2:8" ht="16.5" customHeight="1" x14ac:dyDescent="0.2">
      <c r="B70" s="22" t="s">
        <v>448</v>
      </c>
      <c r="C70" s="22" t="s">
        <v>89</v>
      </c>
      <c r="D70" s="5" t="s">
        <v>686</v>
      </c>
      <c r="E70" s="53">
        <v>7.3750739806248644</v>
      </c>
      <c r="F70" s="26" t="s">
        <v>730</v>
      </c>
      <c r="G70" s="32">
        <v>7.3750739806248644</v>
      </c>
      <c r="H70" s="60">
        <v>7.3750739806248644</v>
      </c>
    </row>
    <row r="71" spans="2:8" ht="16.5" customHeight="1" x14ac:dyDescent="0.2">
      <c r="B71" s="22" t="s">
        <v>432</v>
      </c>
      <c r="C71" s="22" t="s">
        <v>89</v>
      </c>
      <c r="D71" s="5" t="s">
        <v>433</v>
      </c>
      <c r="E71" s="53">
        <v>7.3754477774662801</v>
      </c>
      <c r="F71" s="26" t="s">
        <v>730</v>
      </c>
      <c r="G71" s="32">
        <v>7.3754477774662801</v>
      </c>
      <c r="H71" s="60">
        <v>7.3754477774662801</v>
      </c>
    </row>
    <row r="72" spans="2:8" ht="16.5" customHeight="1" x14ac:dyDescent="0.2">
      <c r="B72" s="22" t="s">
        <v>434</v>
      </c>
      <c r="C72" s="22" t="s">
        <v>89</v>
      </c>
      <c r="D72" s="5" t="s">
        <v>435</v>
      </c>
      <c r="E72" s="53">
        <v>7.3754477774662801</v>
      </c>
      <c r="F72" s="26" t="s">
        <v>730</v>
      </c>
      <c r="G72" s="32">
        <v>7.3754477774662801</v>
      </c>
      <c r="H72" s="60">
        <v>7.3754477774662801</v>
      </c>
    </row>
    <row r="73" spans="2:8" ht="16.5" customHeight="1" x14ac:dyDescent="0.2">
      <c r="B73" s="22" t="s">
        <v>436</v>
      </c>
      <c r="C73" s="22" t="s">
        <v>89</v>
      </c>
      <c r="D73" s="5" t="s">
        <v>437</v>
      </c>
      <c r="E73" s="53">
        <v>7.3754477774662801</v>
      </c>
      <c r="F73" s="26" t="s">
        <v>730</v>
      </c>
      <c r="G73" s="32">
        <v>7.3754477774662801</v>
      </c>
      <c r="H73" s="60">
        <v>7.3754477774662801</v>
      </c>
    </row>
    <row r="74" spans="2:8" ht="16.5" customHeight="1" x14ac:dyDescent="0.2">
      <c r="B74" s="22" t="s">
        <v>438</v>
      </c>
      <c r="C74" s="22" t="s">
        <v>89</v>
      </c>
      <c r="D74" s="5" t="s">
        <v>439</v>
      </c>
      <c r="E74" s="53">
        <v>5.5316637074416724</v>
      </c>
      <c r="F74" s="26" t="s">
        <v>730</v>
      </c>
      <c r="G74" s="32">
        <v>5.5316637074416724</v>
      </c>
      <c r="H74" s="60">
        <v>5.5316637074416724</v>
      </c>
    </row>
    <row r="75" spans="2:8" ht="16.5" customHeight="1" x14ac:dyDescent="0.2">
      <c r="B75" s="22" t="s">
        <v>440</v>
      </c>
      <c r="C75" s="22" t="s">
        <v>89</v>
      </c>
      <c r="D75" s="5" t="s">
        <v>441</v>
      </c>
      <c r="E75" s="53">
        <v>7.3754477774662801</v>
      </c>
      <c r="F75" s="26" t="s">
        <v>730</v>
      </c>
      <c r="G75" s="32">
        <v>7.3754477774662801</v>
      </c>
      <c r="H75" s="60">
        <v>7.3754477774662801</v>
      </c>
    </row>
    <row r="76" spans="2:8" ht="16.5" customHeight="1" x14ac:dyDescent="0.2">
      <c r="B76" s="22" t="s">
        <v>442</v>
      </c>
      <c r="C76" s="22" t="s">
        <v>89</v>
      </c>
      <c r="D76" s="5" t="s">
        <v>443</v>
      </c>
      <c r="E76" s="53">
        <v>7.3754477774662801</v>
      </c>
      <c r="F76" s="26" t="s">
        <v>730</v>
      </c>
      <c r="G76" s="32">
        <v>7.3754477774662801</v>
      </c>
      <c r="H76" s="60">
        <v>7.3754477774662801</v>
      </c>
    </row>
    <row r="77" spans="2:8" ht="16.5" customHeight="1" x14ac:dyDescent="0.2">
      <c r="B77" s="22" t="s">
        <v>444</v>
      </c>
      <c r="C77" s="22" t="s">
        <v>89</v>
      </c>
      <c r="D77" s="5" t="s">
        <v>445</v>
      </c>
      <c r="E77" s="53">
        <v>7.3754477774662801</v>
      </c>
      <c r="F77" s="26" t="s">
        <v>730</v>
      </c>
      <c r="G77" s="32">
        <v>7.3754477774662801</v>
      </c>
      <c r="H77" s="60">
        <v>7.3754477774662801</v>
      </c>
    </row>
    <row r="78" spans="2:8" ht="16.5" customHeight="1" x14ac:dyDescent="0.2">
      <c r="B78" s="22" t="s">
        <v>449</v>
      </c>
      <c r="C78" s="22" t="s">
        <v>89</v>
      </c>
      <c r="D78" s="5" t="s">
        <v>450</v>
      </c>
      <c r="E78" s="53">
        <v>7.3754477774662801</v>
      </c>
      <c r="F78" s="26" t="s">
        <v>730</v>
      </c>
      <c r="G78" s="32">
        <v>7.3754477774662801</v>
      </c>
      <c r="H78" s="60">
        <v>7.3754477774662801</v>
      </c>
    </row>
    <row r="79" spans="2:8" ht="16.5" customHeight="1" x14ac:dyDescent="0.2">
      <c r="B79" s="22" t="s">
        <v>451</v>
      </c>
      <c r="C79" s="22" t="s">
        <v>89</v>
      </c>
      <c r="D79" s="5" t="s">
        <v>452</v>
      </c>
      <c r="E79" s="53">
        <v>7.3754477774662801</v>
      </c>
      <c r="F79" s="26" t="s">
        <v>730</v>
      </c>
      <c r="G79" s="32">
        <v>7.3754477774662801</v>
      </c>
      <c r="H79" s="60">
        <v>7.3754477774662801</v>
      </c>
    </row>
    <row r="80" spans="2:8" ht="16.5" customHeight="1" x14ac:dyDescent="0.2">
      <c r="B80" s="22" t="s">
        <v>453</v>
      </c>
      <c r="C80" s="22" t="s">
        <v>89</v>
      </c>
      <c r="D80" s="5" t="s">
        <v>454</v>
      </c>
      <c r="E80" s="53">
        <v>7.3754477774662801</v>
      </c>
      <c r="F80" s="26" t="s">
        <v>730</v>
      </c>
      <c r="G80" s="32">
        <v>7.3754477774662801</v>
      </c>
      <c r="H80" s="60">
        <v>7.3754477774662801</v>
      </c>
    </row>
    <row r="81" spans="2:8" ht="16.5" hidden="1" customHeight="1" x14ac:dyDescent="0.2">
      <c r="B81" s="22" t="s">
        <v>486</v>
      </c>
      <c r="C81" s="22" t="s">
        <v>89</v>
      </c>
      <c r="D81" s="5" t="s">
        <v>487</v>
      </c>
      <c r="E81" s="53">
        <v>46.350309939881015</v>
      </c>
      <c r="F81" s="26">
        <v>12</v>
      </c>
      <c r="G81" s="31" t="s">
        <v>732</v>
      </c>
      <c r="H81" s="26" t="s">
        <v>732</v>
      </c>
    </row>
    <row r="82" spans="2:8" ht="16.5" hidden="1" customHeight="1" x14ac:dyDescent="0.2">
      <c r="B82" s="22" t="s">
        <v>488</v>
      </c>
      <c r="C82" s="22" t="s">
        <v>89</v>
      </c>
      <c r="D82" s="5" t="s">
        <v>489</v>
      </c>
      <c r="E82" s="53">
        <v>23.475189234650969</v>
      </c>
      <c r="F82" s="26">
        <v>12</v>
      </c>
      <c r="G82" s="31" t="s">
        <v>732</v>
      </c>
      <c r="H82" s="26" t="s">
        <v>732</v>
      </c>
    </row>
    <row r="83" spans="2:8" ht="16.5" customHeight="1" x14ac:dyDescent="0.2">
      <c r="B83" s="22" t="s">
        <v>518</v>
      </c>
      <c r="C83" s="22" t="s">
        <v>89</v>
      </c>
      <c r="D83" s="5" t="s">
        <v>519</v>
      </c>
      <c r="E83" s="53">
        <v>0.69999688502632162</v>
      </c>
      <c r="F83" s="26" t="s">
        <v>730</v>
      </c>
      <c r="G83" s="32">
        <v>0.69999688502632162</v>
      </c>
      <c r="H83" s="60">
        <v>0.69999688502632162</v>
      </c>
    </row>
    <row r="84" spans="2:8" ht="16.5" customHeight="1" x14ac:dyDescent="0.2">
      <c r="B84" s="22" t="s">
        <v>522</v>
      </c>
      <c r="C84" s="22" t="s">
        <v>89</v>
      </c>
      <c r="D84" s="5" t="s">
        <v>523</v>
      </c>
      <c r="E84" s="53">
        <v>7.1000218048157508</v>
      </c>
      <c r="F84" s="26" t="s">
        <v>730</v>
      </c>
      <c r="G84" s="32">
        <v>7.1000218048157508</v>
      </c>
      <c r="H84" s="60">
        <v>7.1000218048157508</v>
      </c>
    </row>
    <row r="85" spans="2:8" ht="16.5" customHeight="1" x14ac:dyDescent="0.2">
      <c r="B85" s="22" t="s">
        <v>548</v>
      </c>
      <c r="C85" s="22" t="s">
        <v>89</v>
      </c>
      <c r="D85" s="5" t="s">
        <v>549</v>
      </c>
      <c r="E85" s="53">
        <v>3.1500482820920164</v>
      </c>
      <c r="F85" s="26" t="s">
        <v>730</v>
      </c>
      <c r="G85" s="32">
        <v>3.1500482820920164</v>
      </c>
      <c r="H85" s="60">
        <v>3.1500482820920164</v>
      </c>
    </row>
    <row r="86" spans="2:8" ht="16.5" customHeight="1" x14ac:dyDescent="0.2">
      <c r="B86" s="22" t="s">
        <v>562</v>
      </c>
      <c r="C86" s="22" t="s">
        <v>89</v>
      </c>
      <c r="D86" s="5" t="s">
        <v>563</v>
      </c>
      <c r="E86" s="53">
        <v>7.5750552907827942</v>
      </c>
      <c r="F86" s="26" t="s">
        <v>730</v>
      </c>
      <c r="G86" s="32">
        <v>7.5750552907827942</v>
      </c>
      <c r="H86" s="60">
        <v>7.5750552907827942</v>
      </c>
    </row>
    <row r="87" spans="2:8" ht="16.5" customHeight="1" x14ac:dyDescent="0.2">
      <c r="B87" s="22" t="s">
        <v>252</v>
      </c>
      <c r="C87" s="22" t="s">
        <v>89</v>
      </c>
      <c r="D87" s="5" t="s">
        <v>253</v>
      </c>
      <c r="E87" s="53">
        <v>7.7504283088807906</v>
      </c>
      <c r="F87" s="26" t="s">
        <v>730</v>
      </c>
      <c r="G87" s="32">
        <v>7.7504283088807906</v>
      </c>
      <c r="H87" s="60">
        <v>7.7504283088807906</v>
      </c>
    </row>
    <row r="88" spans="2:8" ht="16.5" hidden="1" customHeight="1" x14ac:dyDescent="0.2">
      <c r="B88" s="22" t="s">
        <v>254</v>
      </c>
      <c r="C88" s="22" t="s">
        <v>89</v>
      </c>
      <c r="D88" s="5" t="s">
        <v>255</v>
      </c>
      <c r="E88" s="53">
        <v>20.850138616328696</v>
      </c>
      <c r="F88" s="26">
        <v>15</v>
      </c>
      <c r="G88" s="31" t="s">
        <v>732</v>
      </c>
      <c r="H88" s="26" t="s">
        <v>732</v>
      </c>
    </row>
    <row r="89" spans="2:8" ht="16.5" hidden="1" customHeight="1" x14ac:dyDescent="0.2">
      <c r="B89" s="22" t="s">
        <v>256</v>
      </c>
      <c r="C89" s="22" t="s">
        <v>89</v>
      </c>
      <c r="D89" s="5" t="s">
        <v>257</v>
      </c>
      <c r="E89" s="53">
        <v>25.175154969940504</v>
      </c>
      <c r="F89" s="26">
        <v>15</v>
      </c>
      <c r="G89" s="31" t="s">
        <v>732</v>
      </c>
      <c r="H89" s="26" t="s">
        <v>732</v>
      </c>
    </row>
    <row r="90" spans="2:8" ht="16.5" hidden="1" customHeight="1" x14ac:dyDescent="0.2">
      <c r="B90" s="22" t="s">
        <v>258</v>
      </c>
      <c r="C90" s="22" t="s">
        <v>89</v>
      </c>
      <c r="D90" s="5" t="s">
        <v>259</v>
      </c>
      <c r="E90" s="53">
        <v>15.625144067532633</v>
      </c>
      <c r="F90" s="26" t="s">
        <v>730</v>
      </c>
      <c r="G90" s="31" t="s">
        <v>732</v>
      </c>
      <c r="H90" s="26" t="s">
        <v>732</v>
      </c>
    </row>
    <row r="91" spans="2:8" ht="16.5" hidden="1" customHeight="1" x14ac:dyDescent="0.2">
      <c r="B91" s="22" t="s">
        <v>260</v>
      </c>
      <c r="C91" s="22" t="s">
        <v>89</v>
      </c>
      <c r="D91" s="5" t="s">
        <v>261</v>
      </c>
      <c r="E91" s="53">
        <v>23.400180668473354</v>
      </c>
      <c r="F91" s="26">
        <v>15</v>
      </c>
      <c r="G91" s="31" t="s">
        <v>732</v>
      </c>
      <c r="H91" s="26" t="s">
        <v>732</v>
      </c>
    </row>
    <row r="92" spans="2:8" ht="16.5" hidden="1" customHeight="1" x14ac:dyDescent="0.2">
      <c r="B92" s="22" t="s">
        <v>614</v>
      </c>
      <c r="C92" s="22" t="s">
        <v>89</v>
      </c>
      <c r="D92" s="5" t="s">
        <v>615</v>
      </c>
      <c r="E92" s="53">
        <v>7.4000560695262125</v>
      </c>
      <c r="F92" s="26" t="s">
        <v>730</v>
      </c>
      <c r="G92" s="31" t="s">
        <v>732</v>
      </c>
      <c r="H92" s="26" t="s">
        <v>732</v>
      </c>
    </row>
    <row r="93" spans="2:8" ht="16.5" hidden="1" customHeight="1" x14ac:dyDescent="0.2">
      <c r="B93" s="22" t="s">
        <v>616</v>
      </c>
      <c r="C93" s="22" t="s">
        <v>89</v>
      </c>
      <c r="D93" s="5" t="s">
        <v>617</v>
      </c>
      <c r="E93" s="53">
        <v>7.4000560695262125</v>
      </c>
      <c r="F93" s="26" t="s">
        <v>730</v>
      </c>
      <c r="G93" s="31" t="s">
        <v>732</v>
      </c>
      <c r="H93" s="26" t="s">
        <v>732</v>
      </c>
    </row>
    <row r="94" spans="2:8" ht="16.5" customHeight="1" x14ac:dyDescent="0.2">
      <c r="B94" s="22" t="s">
        <v>687</v>
      </c>
      <c r="C94" s="22" t="s">
        <v>89</v>
      </c>
      <c r="D94" s="5" t="s">
        <v>688</v>
      </c>
      <c r="E94" s="53">
        <v>16.425131607637915</v>
      </c>
      <c r="F94" s="26">
        <v>9</v>
      </c>
      <c r="G94" s="31">
        <v>14</v>
      </c>
      <c r="H94" s="26">
        <v>14</v>
      </c>
    </row>
    <row r="95" spans="2:8" ht="16.5" customHeight="1" x14ac:dyDescent="0.2">
      <c r="B95" s="22" t="s">
        <v>292</v>
      </c>
      <c r="C95" s="22" t="s">
        <v>294</v>
      </c>
      <c r="D95" s="5" t="s">
        <v>293</v>
      </c>
      <c r="E95" s="53">
        <v>10.675077095598542</v>
      </c>
      <c r="F95" s="26" t="s">
        <v>730</v>
      </c>
      <c r="G95" s="32">
        <v>10.675077095598542</v>
      </c>
      <c r="H95" s="60">
        <v>10.675077095598542</v>
      </c>
    </row>
    <row r="96" spans="2:8" ht="16.5" customHeight="1" x14ac:dyDescent="0.2">
      <c r="B96" s="22" t="s">
        <v>295</v>
      </c>
      <c r="C96" s="22" t="s">
        <v>294</v>
      </c>
      <c r="D96" s="5" t="s">
        <v>296</v>
      </c>
      <c r="E96" s="53">
        <v>8.1000529545525346</v>
      </c>
      <c r="F96" s="26" t="s">
        <v>730</v>
      </c>
      <c r="G96" s="32">
        <v>8.1000529545525346</v>
      </c>
      <c r="H96" s="60">
        <v>8.1000529545525346</v>
      </c>
    </row>
    <row r="97" spans="2:8" ht="16.5" customHeight="1" x14ac:dyDescent="0.2">
      <c r="B97" s="22" t="s">
        <v>301</v>
      </c>
      <c r="C97" s="22" t="s">
        <v>294</v>
      </c>
      <c r="D97" s="5" t="s">
        <v>302</v>
      </c>
      <c r="E97" s="53">
        <v>9.7750989004142923</v>
      </c>
      <c r="F97" s="26" t="s">
        <v>730</v>
      </c>
      <c r="G97" s="32">
        <v>9.7750989004142923</v>
      </c>
      <c r="H97" s="60">
        <v>9.7750989004142923</v>
      </c>
    </row>
    <row r="98" spans="2:8" ht="16.5" customHeight="1" x14ac:dyDescent="0.2">
      <c r="B98" s="22" t="s">
        <v>333</v>
      </c>
      <c r="C98" s="22" t="s">
        <v>294</v>
      </c>
      <c r="D98" s="5" t="s">
        <v>334</v>
      </c>
      <c r="E98" s="53">
        <v>7.3500295922499461</v>
      </c>
      <c r="F98" s="26" t="s">
        <v>730</v>
      </c>
      <c r="G98" s="32">
        <v>7.3500295922499461</v>
      </c>
      <c r="H98" s="60">
        <v>7.3500295922499461</v>
      </c>
    </row>
    <row r="99" spans="2:8" ht="16.5" customHeight="1" x14ac:dyDescent="0.2">
      <c r="B99" s="22" t="s">
        <v>335</v>
      </c>
      <c r="C99" s="22" t="s">
        <v>294</v>
      </c>
      <c r="D99" s="5" t="s">
        <v>336</v>
      </c>
      <c r="E99" s="53">
        <v>12.425069308164348</v>
      </c>
      <c r="F99" s="26">
        <v>9</v>
      </c>
      <c r="G99" s="31">
        <v>11</v>
      </c>
      <c r="H99" s="26">
        <v>11</v>
      </c>
    </row>
    <row r="100" spans="2:8" ht="16.5" customHeight="1" x14ac:dyDescent="0.2">
      <c r="B100" s="22" t="s">
        <v>337</v>
      </c>
      <c r="C100" s="22" t="s">
        <v>294</v>
      </c>
      <c r="D100" s="5" t="s">
        <v>338</v>
      </c>
      <c r="E100" s="53">
        <v>12.425069308164348</v>
      </c>
      <c r="F100" s="26">
        <v>9</v>
      </c>
      <c r="G100" s="31">
        <v>11</v>
      </c>
      <c r="H100" s="26">
        <v>11</v>
      </c>
    </row>
    <row r="101" spans="2:8" ht="16.5" customHeight="1" x14ac:dyDescent="0.2">
      <c r="B101" s="22" t="s">
        <v>375</v>
      </c>
      <c r="C101" s="22" t="s">
        <v>294</v>
      </c>
      <c r="D101" s="5" t="s">
        <v>376</v>
      </c>
      <c r="E101" s="53">
        <v>12.750085661776158</v>
      </c>
      <c r="F101" s="26">
        <v>9</v>
      </c>
      <c r="G101" s="31">
        <v>11</v>
      </c>
      <c r="H101" s="26">
        <v>11</v>
      </c>
    </row>
    <row r="102" spans="2:8" ht="16.5" customHeight="1" x14ac:dyDescent="0.2">
      <c r="B102" s="22" t="s">
        <v>377</v>
      </c>
      <c r="C102" s="22" t="s">
        <v>294</v>
      </c>
      <c r="D102" s="5" t="s">
        <v>378</v>
      </c>
      <c r="E102" s="53">
        <v>8.8750584057564712</v>
      </c>
      <c r="F102" s="26" t="s">
        <v>730</v>
      </c>
      <c r="G102" s="32">
        <v>8.8750584057564712</v>
      </c>
      <c r="H102" s="60">
        <v>8.8750584057564712</v>
      </c>
    </row>
    <row r="103" spans="2:8" ht="16.5" customHeight="1" x14ac:dyDescent="0.2">
      <c r="B103" s="22" t="s">
        <v>379</v>
      </c>
      <c r="C103" s="22" t="s">
        <v>294</v>
      </c>
      <c r="D103" s="5" t="s">
        <v>380</v>
      </c>
      <c r="E103" s="53">
        <v>8.8750584057564712</v>
      </c>
      <c r="F103" s="26" t="s">
        <v>730</v>
      </c>
      <c r="G103" s="32">
        <v>8.8750584057564712</v>
      </c>
      <c r="H103" s="60">
        <v>8.8750584057564712</v>
      </c>
    </row>
    <row r="104" spans="2:8" ht="16.5" customHeight="1" x14ac:dyDescent="0.2">
      <c r="B104" s="22" t="s">
        <v>381</v>
      </c>
      <c r="C104" s="22" t="s">
        <v>294</v>
      </c>
      <c r="D104" s="5" t="s">
        <v>382</v>
      </c>
      <c r="E104" s="53">
        <v>12.750085661776158</v>
      </c>
      <c r="F104" s="26">
        <v>9</v>
      </c>
      <c r="G104" s="31">
        <v>12.75</v>
      </c>
      <c r="H104" s="26">
        <v>12.75</v>
      </c>
    </row>
    <row r="105" spans="2:8" ht="16.5" customHeight="1" x14ac:dyDescent="0.2">
      <c r="B105" s="22" t="s">
        <v>385</v>
      </c>
      <c r="C105" s="22" t="s">
        <v>294</v>
      </c>
      <c r="D105" s="5" t="s">
        <v>386</v>
      </c>
      <c r="E105" s="53">
        <v>9.2505061832227522</v>
      </c>
      <c r="F105" s="26" t="s">
        <v>730</v>
      </c>
      <c r="G105" s="32">
        <v>9.2505061832227522</v>
      </c>
      <c r="H105" s="60">
        <v>9.25</v>
      </c>
    </row>
    <row r="106" spans="2:8" ht="16.5" customHeight="1" x14ac:dyDescent="0.2">
      <c r="B106" s="22" t="s">
        <v>418</v>
      </c>
      <c r="C106" s="22" t="s">
        <v>294</v>
      </c>
      <c r="D106" s="5" t="s">
        <v>419</v>
      </c>
      <c r="E106" s="53">
        <v>12.425069308164348</v>
      </c>
      <c r="F106" s="26">
        <v>10</v>
      </c>
      <c r="G106" s="31">
        <v>12.43</v>
      </c>
      <c r="H106" s="26">
        <v>12.43</v>
      </c>
    </row>
    <row r="107" spans="2:8" ht="16.5" customHeight="1" x14ac:dyDescent="0.2">
      <c r="B107" s="22" t="s">
        <v>420</v>
      </c>
      <c r="C107" s="22" t="s">
        <v>294</v>
      </c>
      <c r="D107" s="5" t="s">
        <v>421</v>
      </c>
      <c r="E107" s="53">
        <v>7.6500638569604096</v>
      </c>
      <c r="F107" s="26" t="s">
        <v>730</v>
      </c>
      <c r="G107" s="32">
        <v>7.6500638569604096</v>
      </c>
      <c r="H107" s="60">
        <v>7.65</v>
      </c>
    </row>
    <row r="108" spans="2:8" ht="16.5" customHeight="1" x14ac:dyDescent="0.2">
      <c r="B108" s="22" t="s">
        <v>422</v>
      </c>
      <c r="C108" s="22" t="s">
        <v>294</v>
      </c>
      <c r="D108" s="5" t="s">
        <v>423</v>
      </c>
      <c r="E108" s="53">
        <v>12.425069308164348</v>
      </c>
      <c r="F108" s="26">
        <v>9</v>
      </c>
      <c r="G108" s="31">
        <v>12.43</v>
      </c>
      <c r="H108" s="26">
        <v>12.43</v>
      </c>
    </row>
    <row r="109" spans="2:8" ht="16.5" customHeight="1" x14ac:dyDescent="0.2">
      <c r="B109" s="22" t="s">
        <v>446</v>
      </c>
      <c r="C109" s="22" t="s">
        <v>294</v>
      </c>
      <c r="D109" s="5" t="s">
        <v>447</v>
      </c>
      <c r="E109" s="53">
        <v>7.3754477774662801</v>
      </c>
      <c r="F109" s="26" t="s">
        <v>730</v>
      </c>
      <c r="G109" s="32">
        <v>7.3754477774662801</v>
      </c>
      <c r="H109" s="60">
        <v>7.3754477774662801</v>
      </c>
    </row>
    <row r="110" spans="2:8" ht="16.5" customHeight="1" x14ac:dyDescent="0.2">
      <c r="B110" s="22" t="s">
        <v>520</v>
      </c>
      <c r="C110" s="22" t="s">
        <v>294</v>
      </c>
      <c r="D110" s="5" t="s">
        <v>521</v>
      </c>
      <c r="E110" s="53">
        <v>7.1000218048157508</v>
      </c>
      <c r="F110" s="26" t="s">
        <v>730</v>
      </c>
      <c r="G110" s="32">
        <v>7.1000218048157508</v>
      </c>
      <c r="H110" s="60">
        <v>7.1000218048157508</v>
      </c>
    </row>
    <row r="111" spans="2:8" ht="16.5" customHeight="1" x14ac:dyDescent="0.2">
      <c r="B111" s="22" t="s">
        <v>532</v>
      </c>
      <c r="C111" s="22" t="s">
        <v>294</v>
      </c>
      <c r="D111" s="5" t="s">
        <v>533</v>
      </c>
      <c r="E111" s="53">
        <v>28.300221163131173</v>
      </c>
      <c r="F111" s="26">
        <v>10</v>
      </c>
      <c r="G111" s="31">
        <v>10</v>
      </c>
      <c r="H111" s="26">
        <v>10</v>
      </c>
    </row>
    <row r="112" spans="2:8" ht="16.5" customHeight="1" x14ac:dyDescent="0.2">
      <c r="B112" s="22" t="s">
        <v>560</v>
      </c>
      <c r="C112" s="22" t="s">
        <v>294</v>
      </c>
      <c r="D112" s="5" t="s">
        <v>561</v>
      </c>
      <c r="E112" s="53">
        <v>10.650095006697194</v>
      </c>
      <c r="F112" s="26">
        <v>9</v>
      </c>
      <c r="G112" s="31">
        <v>9</v>
      </c>
      <c r="H112" s="26">
        <v>9</v>
      </c>
    </row>
    <row r="113" spans="2:8" ht="16.5" customHeight="1" x14ac:dyDescent="0.2">
      <c r="B113" s="22" t="s">
        <v>564</v>
      </c>
      <c r="C113" s="22" t="s">
        <v>294</v>
      </c>
      <c r="D113" s="5" t="s">
        <v>565</v>
      </c>
      <c r="E113" s="53">
        <v>10.650095006697194</v>
      </c>
      <c r="F113" s="26">
        <v>9</v>
      </c>
      <c r="G113" s="31">
        <v>9</v>
      </c>
      <c r="H113" s="26">
        <v>9</v>
      </c>
    </row>
    <row r="114" spans="2:8" ht="16.5" hidden="1" customHeight="1" x14ac:dyDescent="0.2">
      <c r="B114" s="22" t="s">
        <v>689</v>
      </c>
      <c r="C114" s="22" t="s">
        <v>294</v>
      </c>
      <c r="D114" s="5" t="s">
        <v>690</v>
      </c>
      <c r="E114" s="53">
        <v>16.425131607637915</v>
      </c>
      <c r="F114" s="26">
        <v>9</v>
      </c>
      <c r="G114" s="31" t="s">
        <v>732</v>
      </c>
      <c r="H114" s="26" t="s">
        <v>732</v>
      </c>
    </row>
    <row r="115" spans="2:8" ht="16.5" hidden="1" customHeight="1" x14ac:dyDescent="0.2">
      <c r="B115" s="22" t="s">
        <v>691</v>
      </c>
      <c r="C115" s="22" t="s">
        <v>294</v>
      </c>
      <c r="D115" s="5" t="s">
        <v>692</v>
      </c>
      <c r="E115" s="53">
        <v>16.425131607637915</v>
      </c>
      <c r="F115" s="26">
        <v>9</v>
      </c>
      <c r="G115" s="31" t="s">
        <v>732</v>
      </c>
      <c r="H115" s="26" t="s">
        <v>732</v>
      </c>
    </row>
    <row r="116" spans="2:8" ht="16.5" hidden="1" customHeight="1" x14ac:dyDescent="0.2">
      <c r="B116" s="22" t="s">
        <v>693</v>
      </c>
      <c r="C116" s="22" t="s">
        <v>294</v>
      </c>
      <c r="D116" s="5" t="s">
        <v>694</v>
      </c>
      <c r="E116" s="53">
        <v>16.425131607637915</v>
      </c>
      <c r="F116" s="26">
        <v>9</v>
      </c>
      <c r="G116" s="31" t="s">
        <v>732</v>
      </c>
      <c r="H116" s="26" t="s">
        <v>732</v>
      </c>
    </row>
    <row r="117" spans="2:8" ht="16.5" hidden="1" customHeight="1" x14ac:dyDescent="0.2">
      <c r="B117" s="22" t="s">
        <v>695</v>
      </c>
      <c r="C117" s="22" t="s">
        <v>294</v>
      </c>
      <c r="D117" s="5" t="s">
        <v>696</v>
      </c>
      <c r="E117" s="53">
        <v>16.425131607637915</v>
      </c>
      <c r="F117" s="26">
        <v>9</v>
      </c>
      <c r="G117" s="31" t="s">
        <v>732</v>
      </c>
      <c r="H117" s="26" t="s">
        <v>732</v>
      </c>
    </row>
    <row r="118" spans="2:8" ht="16.5" hidden="1" customHeight="1" x14ac:dyDescent="0.2">
      <c r="B118" s="22" t="s">
        <v>654</v>
      </c>
      <c r="C118" s="22" t="s">
        <v>651</v>
      </c>
      <c r="D118" s="5" t="s">
        <v>655</v>
      </c>
      <c r="E118" s="53">
        <v>51.721583652618143</v>
      </c>
      <c r="F118" s="26" t="s">
        <v>733</v>
      </c>
      <c r="G118" s="31" t="s">
        <v>732</v>
      </c>
      <c r="H118" s="26" t="s">
        <v>733</v>
      </c>
    </row>
    <row r="119" spans="2:8" ht="16.5" hidden="1" customHeight="1" x14ac:dyDescent="0.2">
      <c r="B119" s="22" t="s">
        <v>652</v>
      </c>
      <c r="C119" s="22" t="s">
        <v>651</v>
      </c>
      <c r="D119" s="5" t="s">
        <v>653</v>
      </c>
      <c r="E119" s="53">
        <v>51.721583652618143</v>
      </c>
      <c r="F119" s="26" t="s">
        <v>733</v>
      </c>
      <c r="G119" s="31" t="s">
        <v>732</v>
      </c>
      <c r="H119" s="26" t="s">
        <v>733</v>
      </c>
    </row>
    <row r="120" spans="2:8" ht="16.5" hidden="1" customHeight="1" x14ac:dyDescent="0.2">
      <c r="B120" s="22" t="s">
        <v>409</v>
      </c>
      <c r="C120" s="22" t="s">
        <v>411</v>
      </c>
      <c r="D120" s="5" t="s">
        <v>410</v>
      </c>
      <c r="E120" s="53">
        <v>22.250132386381338</v>
      </c>
      <c r="F120" s="26">
        <v>10</v>
      </c>
      <c r="G120" s="31" t="s">
        <v>732</v>
      </c>
      <c r="H120" s="26" t="s">
        <v>732</v>
      </c>
    </row>
    <row r="121" spans="2:8" ht="16.5" customHeight="1" x14ac:dyDescent="0.2">
      <c r="B121" s="22" t="s">
        <v>570</v>
      </c>
      <c r="C121" s="22" t="s">
        <v>411</v>
      </c>
      <c r="D121" s="5" t="s">
        <v>571</v>
      </c>
      <c r="E121" s="53">
        <v>10.650095006697194</v>
      </c>
      <c r="F121" s="26" t="s">
        <v>730</v>
      </c>
      <c r="G121" s="32">
        <v>10.650095006697194</v>
      </c>
      <c r="H121" s="60">
        <v>10.650095006697194</v>
      </c>
    </row>
    <row r="122" spans="2:8" ht="16.5" customHeight="1" x14ac:dyDescent="0.2">
      <c r="B122" s="22" t="s">
        <v>572</v>
      </c>
      <c r="C122" s="22" t="s">
        <v>411</v>
      </c>
      <c r="D122" s="5" t="s">
        <v>573</v>
      </c>
      <c r="E122" s="53">
        <v>10.650095006697194</v>
      </c>
      <c r="F122" s="26" t="s">
        <v>730</v>
      </c>
      <c r="G122" s="32">
        <v>10.650095006697194</v>
      </c>
      <c r="H122" s="60">
        <v>10.650095006697194</v>
      </c>
    </row>
    <row r="123" spans="2:8" ht="16.5" customHeight="1" x14ac:dyDescent="0.2">
      <c r="B123" s="22" t="s">
        <v>576</v>
      </c>
      <c r="C123" s="22" t="s">
        <v>411</v>
      </c>
      <c r="D123" s="5" t="s">
        <v>577</v>
      </c>
      <c r="E123" s="53">
        <v>10.650095006697194</v>
      </c>
      <c r="F123" s="26" t="s">
        <v>730</v>
      </c>
      <c r="G123" s="32">
        <v>10.650095006697194</v>
      </c>
      <c r="H123" s="60">
        <v>10.650095006697194</v>
      </c>
    </row>
    <row r="124" spans="2:8" ht="16.5" customHeight="1" x14ac:dyDescent="0.2">
      <c r="B124" s="22" t="s">
        <v>606</v>
      </c>
      <c r="C124" s="22" t="s">
        <v>411</v>
      </c>
      <c r="D124" s="5" t="s">
        <v>607</v>
      </c>
      <c r="E124" s="53">
        <v>1.3500295922499455</v>
      </c>
      <c r="F124" s="26" t="s">
        <v>730</v>
      </c>
      <c r="G124" s="32">
        <v>1.3500295922499455</v>
      </c>
      <c r="H124" s="60">
        <v>1.3500295922499455</v>
      </c>
    </row>
    <row r="125" spans="2:8" ht="16.5" customHeight="1" x14ac:dyDescent="0.2">
      <c r="B125" s="22" t="s">
        <v>608</v>
      </c>
      <c r="C125" s="22" t="s">
        <v>411</v>
      </c>
      <c r="D125" s="5" t="s">
        <v>609</v>
      </c>
      <c r="E125" s="53">
        <v>1.3500295922499455</v>
      </c>
      <c r="F125" s="26" t="s">
        <v>730</v>
      </c>
      <c r="G125" s="32">
        <v>1.3500295922499455</v>
      </c>
      <c r="H125" s="60">
        <v>1.3500295922499455</v>
      </c>
    </row>
    <row r="126" spans="2:8" ht="16.5" customHeight="1" x14ac:dyDescent="0.2">
      <c r="B126" s="22" t="s">
        <v>626</v>
      </c>
      <c r="C126" s="22" t="s">
        <v>411</v>
      </c>
      <c r="D126" s="5" t="s">
        <v>627</v>
      </c>
      <c r="E126" s="53">
        <v>12.425069308164348</v>
      </c>
      <c r="F126" s="26" t="s">
        <v>730</v>
      </c>
      <c r="G126" s="32">
        <v>12.425069308164348</v>
      </c>
      <c r="H126" s="60">
        <v>12.425069308164348</v>
      </c>
    </row>
    <row r="127" spans="2:8" ht="16.5" hidden="1" customHeight="1" x14ac:dyDescent="0.2">
      <c r="B127" s="22" t="s">
        <v>303</v>
      </c>
      <c r="C127" s="22" t="s">
        <v>305</v>
      </c>
      <c r="D127" s="5" t="s">
        <v>304</v>
      </c>
      <c r="E127" s="53">
        <v>17.725134722611596</v>
      </c>
      <c r="F127" s="26">
        <v>12</v>
      </c>
      <c r="G127" s="31" t="s">
        <v>732</v>
      </c>
      <c r="H127" s="26" t="s">
        <v>732</v>
      </c>
    </row>
    <row r="128" spans="2:8" ht="16.5" hidden="1" customHeight="1" x14ac:dyDescent="0.2">
      <c r="B128" s="22" t="s">
        <v>306</v>
      </c>
      <c r="C128" s="22" t="s">
        <v>305</v>
      </c>
      <c r="D128" s="5" t="s">
        <v>307</v>
      </c>
      <c r="E128" s="53">
        <v>17.725134722611596</v>
      </c>
      <c r="F128" s="26">
        <v>12</v>
      </c>
      <c r="G128" s="31" t="s">
        <v>732</v>
      </c>
      <c r="H128" s="26" t="s">
        <v>732</v>
      </c>
    </row>
    <row r="129" spans="2:8" ht="16.5" hidden="1" customHeight="1" x14ac:dyDescent="0.2">
      <c r="B129" s="22" t="s">
        <v>308</v>
      </c>
      <c r="C129" s="22" t="s">
        <v>305</v>
      </c>
      <c r="D129" s="5" t="s">
        <v>309</v>
      </c>
      <c r="E129" s="53">
        <v>17.725134722611596</v>
      </c>
      <c r="F129" s="26">
        <v>12</v>
      </c>
      <c r="G129" s="31" t="s">
        <v>732</v>
      </c>
      <c r="H129" s="26" t="s">
        <v>732</v>
      </c>
    </row>
    <row r="130" spans="2:8" ht="16.5" hidden="1" customHeight="1" x14ac:dyDescent="0.2">
      <c r="B130" s="22" t="s">
        <v>310</v>
      </c>
      <c r="C130" s="22" t="s">
        <v>305</v>
      </c>
      <c r="D130" s="5" t="s">
        <v>311</v>
      </c>
      <c r="E130" s="53">
        <v>17.725134722611596</v>
      </c>
      <c r="F130" s="26">
        <v>12</v>
      </c>
      <c r="G130" s="31" t="s">
        <v>732</v>
      </c>
      <c r="H130" s="26" t="s">
        <v>732</v>
      </c>
    </row>
    <row r="131" spans="2:8" ht="16.5" hidden="1" customHeight="1" x14ac:dyDescent="0.2">
      <c r="B131" s="22" t="s">
        <v>416</v>
      </c>
      <c r="C131" s="22" t="s">
        <v>305</v>
      </c>
      <c r="D131" s="5" t="s">
        <v>417</v>
      </c>
      <c r="E131" s="53">
        <v>8.5500420521446614</v>
      </c>
      <c r="F131" s="26" t="s">
        <v>730</v>
      </c>
      <c r="G131" s="31" t="s">
        <v>732</v>
      </c>
      <c r="H131" s="26" t="s">
        <v>732</v>
      </c>
    </row>
    <row r="132" spans="2:8" ht="16.5" hidden="1" customHeight="1" x14ac:dyDescent="0.2">
      <c r="B132" s="22" t="s">
        <v>430</v>
      </c>
      <c r="C132" s="22" t="s">
        <v>305</v>
      </c>
      <c r="D132" s="5" t="s">
        <v>431</v>
      </c>
      <c r="E132" s="53">
        <v>12.425069308164348</v>
      </c>
      <c r="F132" s="26" t="s">
        <v>730</v>
      </c>
      <c r="G132" s="31" t="s">
        <v>732</v>
      </c>
      <c r="H132" s="26" t="s">
        <v>732</v>
      </c>
    </row>
    <row r="133" spans="2:8" ht="16.5" hidden="1" customHeight="1" x14ac:dyDescent="0.2">
      <c r="B133" s="22" t="s">
        <v>514</v>
      </c>
      <c r="C133" s="22" t="s">
        <v>305</v>
      </c>
      <c r="D133" s="5" t="s">
        <v>515</v>
      </c>
      <c r="E133" s="53">
        <v>11.475064635703831</v>
      </c>
      <c r="F133" s="26" t="s">
        <v>730</v>
      </c>
      <c r="G133" s="31" t="s">
        <v>732</v>
      </c>
      <c r="H133" s="26" t="s">
        <v>732</v>
      </c>
    </row>
    <row r="134" spans="2:8" ht="16.5" hidden="1" customHeight="1" x14ac:dyDescent="0.2">
      <c r="B134" s="22" t="s">
        <v>516</v>
      </c>
      <c r="C134" s="22" t="s">
        <v>305</v>
      </c>
      <c r="D134" s="5" t="s">
        <v>517</v>
      </c>
      <c r="E134" s="53">
        <v>28.150204030775942</v>
      </c>
      <c r="F134" s="26">
        <v>12</v>
      </c>
      <c r="G134" s="31" t="s">
        <v>732</v>
      </c>
      <c r="H134" s="26" t="s">
        <v>732</v>
      </c>
    </row>
    <row r="135" spans="2:8" ht="16.5" customHeight="1" x14ac:dyDescent="0.2">
      <c r="B135" s="22" t="s">
        <v>558</v>
      </c>
      <c r="C135" s="22" t="s">
        <v>305</v>
      </c>
      <c r="D135" s="5" t="s">
        <v>559</v>
      </c>
      <c r="E135" s="53">
        <v>12.750085661776158</v>
      </c>
      <c r="F135" s="26" t="s">
        <v>730</v>
      </c>
      <c r="G135" s="32">
        <v>12.750085661776158</v>
      </c>
      <c r="H135" s="60">
        <v>12.750085661776158</v>
      </c>
    </row>
    <row r="136" spans="2:8" ht="16.5" customHeight="1" x14ac:dyDescent="0.2">
      <c r="B136" s="22" t="s">
        <v>610</v>
      </c>
      <c r="C136" s="22" t="s">
        <v>305</v>
      </c>
      <c r="D136" s="5" t="s">
        <v>611</v>
      </c>
      <c r="E136" s="53">
        <v>6.6000685294209278</v>
      </c>
      <c r="F136" s="26" t="s">
        <v>730</v>
      </c>
      <c r="G136" s="32">
        <v>6.6000685294209278</v>
      </c>
      <c r="H136" s="60">
        <v>6.6000685294209278</v>
      </c>
    </row>
    <row r="137" spans="2:8" ht="16.5" customHeight="1" x14ac:dyDescent="0.2">
      <c r="B137" s="22" t="s">
        <v>612</v>
      </c>
      <c r="C137" s="22" t="s">
        <v>305</v>
      </c>
      <c r="D137" s="5" t="s">
        <v>613</v>
      </c>
      <c r="E137" s="53">
        <v>6.6000685294209278</v>
      </c>
      <c r="F137" s="26" t="s">
        <v>730</v>
      </c>
      <c r="G137" s="32">
        <v>6.6000685294209278</v>
      </c>
      <c r="H137" s="60">
        <v>6.6000685294209278</v>
      </c>
    </row>
    <row r="138" spans="2:8" ht="16.5" hidden="1" customHeight="1" x14ac:dyDescent="0.2">
      <c r="B138" s="22" t="s">
        <v>725</v>
      </c>
      <c r="C138" s="22" t="s">
        <v>269</v>
      </c>
      <c r="D138" s="5" t="s">
        <v>726</v>
      </c>
      <c r="E138" s="53">
        <v>47.772949568576145</v>
      </c>
      <c r="F138" s="26" t="s">
        <v>733</v>
      </c>
      <c r="G138" s="31" t="s">
        <v>732</v>
      </c>
      <c r="H138" s="26" t="s">
        <v>732</v>
      </c>
    </row>
    <row r="139" spans="2:8" ht="16.5" hidden="1" customHeight="1" x14ac:dyDescent="0.2">
      <c r="B139" s="22" t="s">
        <v>267</v>
      </c>
      <c r="C139" s="22" t="s">
        <v>269</v>
      </c>
      <c r="D139" s="5" t="s">
        <v>268</v>
      </c>
      <c r="E139" s="53">
        <v>37.8252499766377</v>
      </c>
      <c r="F139" s="26">
        <v>12</v>
      </c>
      <c r="G139" s="31" t="s">
        <v>732</v>
      </c>
      <c r="H139" s="26" t="s">
        <v>732</v>
      </c>
    </row>
    <row r="140" spans="2:8" ht="16.5" hidden="1" customHeight="1" x14ac:dyDescent="0.2">
      <c r="B140" s="22" t="s">
        <v>395</v>
      </c>
      <c r="C140" s="22" t="s">
        <v>269</v>
      </c>
      <c r="D140" s="5" t="s">
        <v>396</v>
      </c>
      <c r="E140" s="53">
        <v>37.475251534124538</v>
      </c>
      <c r="F140" s="26">
        <v>20</v>
      </c>
      <c r="G140" s="31" t="s">
        <v>732</v>
      </c>
      <c r="H140" s="26" t="s">
        <v>732</v>
      </c>
    </row>
    <row r="141" spans="2:8" ht="16.5" hidden="1" customHeight="1" x14ac:dyDescent="0.2">
      <c r="B141" s="22" t="s">
        <v>397</v>
      </c>
      <c r="C141" s="22" t="s">
        <v>269</v>
      </c>
      <c r="D141" s="5" t="s">
        <v>398</v>
      </c>
      <c r="E141" s="53">
        <v>69.350527988038507</v>
      </c>
      <c r="F141" s="26" t="s">
        <v>733</v>
      </c>
      <c r="G141" s="31" t="s">
        <v>732</v>
      </c>
      <c r="H141" s="26" t="s">
        <v>732</v>
      </c>
    </row>
    <row r="142" spans="2:8" ht="16.5" hidden="1" customHeight="1" x14ac:dyDescent="0.2">
      <c r="B142" s="22" t="s">
        <v>401</v>
      </c>
      <c r="C142" s="22" t="s">
        <v>269</v>
      </c>
      <c r="D142" s="5" t="s">
        <v>402</v>
      </c>
      <c r="E142" s="53">
        <v>68.875494502071462</v>
      </c>
      <c r="F142" s="26" t="s">
        <v>733</v>
      </c>
      <c r="G142" s="31" t="s">
        <v>732</v>
      </c>
      <c r="H142" s="26" t="s">
        <v>732</v>
      </c>
    </row>
    <row r="143" spans="2:8" ht="16.5" hidden="1" customHeight="1" x14ac:dyDescent="0.2">
      <c r="B143" s="22" t="s">
        <v>407</v>
      </c>
      <c r="C143" s="22" t="s">
        <v>269</v>
      </c>
      <c r="D143" s="5" t="s">
        <v>408</v>
      </c>
      <c r="E143" s="53">
        <v>46.025355885742769</v>
      </c>
      <c r="F143" s="26">
        <v>18</v>
      </c>
      <c r="G143" s="31" t="s">
        <v>732</v>
      </c>
      <c r="H143" s="26" t="s">
        <v>732</v>
      </c>
    </row>
    <row r="144" spans="2:8" ht="16.5" hidden="1" customHeight="1" x14ac:dyDescent="0.2">
      <c r="B144" s="22" t="s">
        <v>288</v>
      </c>
      <c r="C144" s="22" t="s">
        <v>269</v>
      </c>
      <c r="D144" s="5" t="s">
        <v>289</v>
      </c>
      <c r="E144" s="53">
        <v>30.07519546459833</v>
      </c>
      <c r="F144" s="26">
        <v>15</v>
      </c>
      <c r="G144" s="31" t="s">
        <v>732</v>
      </c>
      <c r="H144" s="26" t="s">
        <v>732</v>
      </c>
    </row>
    <row r="145" spans="2:8" ht="16.5" hidden="1" customHeight="1" x14ac:dyDescent="0.2">
      <c r="B145" s="22" t="s">
        <v>552</v>
      </c>
      <c r="C145" s="22" t="s">
        <v>269</v>
      </c>
      <c r="D145" s="5" t="s">
        <v>553</v>
      </c>
      <c r="E145" s="53">
        <v>44.975298258729715</v>
      </c>
      <c r="F145" s="26">
        <v>30</v>
      </c>
      <c r="G145" s="31" t="s">
        <v>732</v>
      </c>
      <c r="H145" s="26" t="s">
        <v>732</v>
      </c>
    </row>
    <row r="146" spans="2:8" ht="16.5" hidden="1" customHeight="1" x14ac:dyDescent="0.2">
      <c r="B146" s="22" t="s">
        <v>622</v>
      </c>
      <c r="C146" s="22" t="s">
        <v>269</v>
      </c>
      <c r="D146" s="5" t="s">
        <v>623</v>
      </c>
      <c r="E146" s="53">
        <v>47.700339532130954</v>
      </c>
      <c r="F146" s="26">
        <v>20</v>
      </c>
      <c r="G146" s="31" t="s">
        <v>732</v>
      </c>
      <c r="H146" s="26" t="s">
        <v>732</v>
      </c>
    </row>
    <row r="147" spans="2:8" ht="16.5" customHeight="1" x14ac:dyDescent="0.2">
      <c r="B147" s="22" t="s">
        <v>359</v>
      </c>
      <c r="C147" s="22" t="s">
        <v>200</v>
      </c>
      <c r="D147" s="5" t="s">
        <v>360</v>
      </c>
      <c r="E147" s="53">
        <v>10.650095006697194</v>
      </c>
      <c r="F147" s="26" t="s">
        <v>730</v>
      </c>
      <c r="G147" s="32">
        <v>10.650095006697194</v>
      </c>
      <c r="H147" s="60">
        <v>11.6500950066972</v>
      </c>
    </row>
    <row r="148" spans="2:8" ht="16.5" customHeight="1" x14ac:dyDescent="0.2">
      <c r="B148" s="22" t="s">
        <v>371</v>
      </c>
      <c r="C148" s="22" t="s">
        <v>200</v>
      </c>
      <c r="D148" s="5" t="s">
        <v>372</v>
      </c>
      <c r="E148" s="53">
        <v>11.100084104289319</v>
      </c>
      <c r="F148" s="26" t="s">
        <v>730</v>
      </c>
      <c r="G148" s="32">
        <v>11.100084104289319</v>
      </c>
      <c r="H148" s="60">
        <v>11.100084104289319</v>
      </c>
    </row>
    <row r="149" spans="2:8" ht="16.5" customHeight="1" x14ac:dyDescent="0.2">
      <c r="B149" s="22" t="s">
        <v>399</v>
      </c>
      <c r="C149" s="22" t="s">
        <v>200</v>
      </c>
      <c r="D149" s="5" t="s">
        <v>400</v>
      </c>
      <c r="E149" s="53">
        <v>8.4750334859670442</v>
      </c>
      <c r="F149" s="26" t="s">
        <v>730</v>
      </c>
      <c r="G149" s="32">
        <v>8.4750334859670442</v>
      </c>
      <c r="H149" s="60">
        <v>8.4750334859670442</v>
      </c>
    </row>
    <row r="150" spans="2:8" ht="16.5" customHeight="1" x14ac:dyDescent="0.2">
      <c r="B150" s="22" t="s">
        <v>412</v>
      </c>
      <c r="C150" s="22" t="s">
        <v>200</v>
      </c>
      <c r="D150" s="5" t="s">
        <v>413</v>
      </c>
      <c r="E150" s="53">
        <v>0.79998754010528617</v>
      </c>
      <c r="F150" s="26" t="s">
        <v>730</v>
      </c>
      <c r="G150" s="32">
        <v>0.79998754010528617</v>
      </c>
      <c r="H150" s="60">
        <v>0.79998754010528617</v>
      </c>
    </row>
    <row r="151" spans="2:8" ht="16.5" customHeight="1" x14ac:dyDescent="0.2">
      <c r="B151" s="22" t="s">
        <v>426</v>
      </c>
      <c r="C151" s="22" t="s">
        <v>200</v>
      </c>
      <c r="D151" s="5" t="s">
        <v>427</v>
      </c>
      <c r="E151" s="53">
        <v>10.650095006697194</v>
      </c>
      <c r="F151" s="26" t="s">
        <v>730</v>
      </c>
      <c r="G151" s="32">
        <v>10.650095006697194</v>
      </c>
      <c r="H151" s="60">
        <v>10.650095006697194</v>
      </c>
    </row>
    <row r="152" spans="2:8" ht="16.5" customHeight="1" x14ac:dyDescent="0.2">
      <c r="B152" s="22" t="s">
        <v>428</v>
      </c>
      <c r="C152" s="22" t="s">
        <v>200</v>
      </c>
      <c r="D152" s="5" t="s">
        <v>429</v>
      </c>
      <c r="E152" s="53">
        <v>10.650095006697194</v>
      </c>
      <c r="F152" s="26" t="s">
        <v>730</v>
      </c>
      <c r="G152" s="32">
        <v>10.650095006697194</v>
      </c>
      <c r="H152" s="60">
        <v>10.650095006697194</v>
      </c>
    </row>
    <row r="153" spans="2:8" ht="16.5" customHeight="1" x14ac:dyDescent="0.2">
      <c r="B153" s="22" t="s">
        <v>457</v>
      </c>
      <c r="C153" s="22" t="s">
        <v>200</v>
      </c>
      <c r="D153" s="5" t="s">
        <v>458</v>
      </c>
      <c r="E153" s="53">
        <v>11.350091891723515</v>
      </c>
      <c r="F153" s="26" t="s">
        <v>730</v>
      </c>
      <c r="G153" s="32">
        <v>11.350091891723515</v>
      </c>
      <c r="H153" s="60">
        <v>11.350091891723515</v>
      </c>
    </row>
    <row r="154" spans="2:8" ht="16.5" customHeight="1" x14ac:dyDescent="0.2">
      <c r="B154" s="22" t="s">
        <v>656</v>
      </c>
      <c r="C154" s="22" t="s">
        <v>200</v>
      </c>
      <c r="D154" s="5" t="s">
        <v>663</v>
      </c>
      <c r="E154" s="53">
        <v>5.5500732018814443</v>
      </c>
      <c r="F154" s="26" t="s">
        <v>730</v>
      </c>
      <c r="G154" s="32">
        <v>5.5500732018814443</v>
      </c>
      <c r="H154" s="60">
        <v>5.5500732018814443</v>
      </c>
    </row>
    <row r="155" spans="2:8" ht="16.5" hidden="1" customHeight="1" x14ac:dyDescent="0.2">
      <c r="B155" s="22" t="s">
        <v>470</v>
      </c>
      <c r="C155" s="22" t="s">
        <v>200</v>
      </c>
      <c r="D155" s="5" t="s">
        <v>471</v>
      </c>
      <c r="E155" s="53">
        <v>12.100115254026104</v>
      </c>
      <c r="F155" s="26" t="s">
        <v>733</v>
      </c>
      <c r="G155" s="31" t="s">
        <v>732</v>
      </c>
      <c r="H155" s="26" t="s">
        <v>732</v>
      </c>
    </row>
    <row r="156" spans="2:8" ht="16.5" customHeight="1" x14ac:dyDescent="0.2">
      <c r="B156" s="22" t="s">
        <v>199</v>
      </c>
      <c r="C156" s="22" t="s">
        <v>200</v>
      </c>
      <c r="D156" s="5" t="s">
        <v>697</v>
      </c>
      <c r="E156" s="53">
        <v>13.950098121670871</v>
      </c>
      <c r="F156" s="26" t="s">
        <v>730</v>
      </c>
      <c r="G156" s="32">
        <v>13.950098121670871</v>
      </c>
      <c r="H156" s="60">
        <v>13.950098121670871</v>
      </c>
    </row>
    <row r="157" spans="2:8" ht="16.5" customHeight="1" x14ac:dyDescent="0.2">
      <c r="B157" s="22" t="s">
        <v>474</v>
      </c>
      <c r="C157" s="22" t="s">
        <v>200</v>
      </c>
      <c r="D157" s="5" t="s">
        <v>475</v>
      </c>
      <c r="E157" s="53">
        <v>5.5500732018814443</v>
      </c>
      <c r="F157" s="26" t="s">
        <v>730</v>
      </c>
      <c r="G157" s="32">
        <v>5.5500732018814443</v>
      </c>
      <c r="H157" s="60">
        <v>5.5500732018814443</v>
      </c>
    </row>
    <row r="158" spans="2:8" ht="16.5" customHeight="1" x14ac:dyDescent="0.2">
      <c r="B158" s="22" t="s">
        <v>476</v>
      </c>
      <c r="C158" s="22" t="s">
        <v>200</v>
      </c>
      <c r="D158" s="5" t="s">
        <v>477</v>
      </c>
      <c r="E158" s="53">
        <v>15.925178332243094</v>
      </c>
      <c r="F158" s="26" t="s">
        <v>730</v>
      </c>
      <c r="G158" s="32">
        <v>15.925178332243094</v>
      </c>
      <c r="H158" s="60">
        <v>15.925178332243094</v>
      </c>
    </row>
    <row r="159" spans="2:8" ht="16.5" customHeight="1" x14ac:dyDescent="0.2">
      <c r="B159" s="22" t="s">
        <v>478</v>
      </c>
      <c r="C159" s="22" t="s">
        <v>200</v>
      </c>
      <c r="D159" s="5" t="s">
        <v>479</v>
      </c>
      <c r="E159" s="53">
        <v>15.608697006510296</v>
      </c>
      <c r="F159" s="26" t="s">
        <v>730</v>
      </c>
      <c r="G159" s="32">
        <v>15.608697006510296</v>
      </c>
      <c r="H159" s="60">
        <v>15.608697006510296</v>
      </c>
    </row>
    <row r="160" spans="2:8" ht="16.5" customHeight="1" x14ac:dyDescent="0.2">
      <c r="B160" s="22" t="s">
        <v>538</v>
      </c>
      <c r="C160" s="22" t="s">
        <v>200</v>
      </c>
      <c r="D160" s="5" t="s">
        <v>539</v>
      </c>
      <c r="E160" s="53">
        <v>11.100084104289319</v>
      </c>
      <c r="F160" s="26" t="s">
        <v>730</v>
      </c>
      <c r="G160" s="32">
        <v>11.100084104289319</v>
      </c>
      <c r="H160" s="60">
        <v>11.100084104289319</v>
      </c>
    </row>
    <row r="161" spans="2:8" ht="16.5" customHeight="1" x14ac:dyDescent="0.2">
      <c r="B161" s="22" t="s">
        <v>580</v>
      </c>
      <c r="C161" s="22" t="s">
        <v>200</v>
      </c>
      <c r="D161" s="5" t="s">
        <v>581</v>
      </c>
      <c r="E161" s="53">
        <v>12.025106687848488</v>
      </c>
      <c r="F161" s="26" t="s">
        <v>730</v>
      </c>
      <c r="G161" s="32">
        <v>12.025106687848488</v>
      </c>
      <c r="H161" s="60">
        <v>12.025106687848488</v>
      </c>
    </row>
    <row r="162" spans="2:8" ht="16.5" customHeight="1" x14ac:dyDescent="0.2">
      <c r="B162" s="22" t="s">
        <v>582</v>
      </c>
      <c r="C162" s="22" t="s">
        <v>200</v>
      </c>
      <c r="D162" s="5" t="s">
        <v>583</v>
      </c>
      <c r="E162" s="53">
        <v>1.250038937170981</v>
      </c>
      <c r="F162" s="26" t="s">
        <v>730</v>
      </c>
      <c r="G162" s="32">
        <v>1.250038937170981</v>
      </c>
      <c r="H162" s="60">
        <v>1.250038937170981</v>
      </c>
    </row>
    <row r="163" spans="2:8" ht="16.5" hidden="1" customHeight="1" x14ac:dyDescent="0.2">
      <c r="B163" s="22" t="s">
        <v>723</v>
      </c>
      <c r="C163" s="22" t="s">
        <v>463</v>
      </c>
      <c r="D163" s="5" t="s">
        <v>724</v>
      </c>
      <c r="E163" s="53">
        <v>37.175279568887646</v>
      </c>
      <c r="F163" s="26">
        <v>20</v>
      </c>
      <c r="G163" s="31" t="s">
        <v>732</v>
      </c>
      <c r="H163" s="26" t="s">
        <v>732</v>
      </c>
    </row>
    <row r="164" spans="2:8" ht="16.5" hidden="1" customHeight="1" x14ac:dyDescent="0.2">
      <c r="B164" s="22" t="s">
        <v>642</v>
      </c>
      <c r="C164" s="22" t="s">
        <v>463</v>
      </c>
      <c r="D164" s="5" t="s">
        <v>643</v>
      </c>
      <c r="E164" s="53">
        <v>20.925147182506311</v>
      </c>
      <c r="F164" s="26" t="s">
        <v>733</v>
      </c>
      <c r="G164" s="31" t="s">
        <v>732</v>
      </c>
      <c r="H164" s="26" t="s">
        <v>732</v>
      </c>
    </row>
    <row r="165" spans="2:8" ht="16.5" customHeight="1" x14ac:dyDescent="0.2">
      <c r="B165" s="22" t="s">
        <v>636</v>
      </c>
      <c r="C165" s="22" t="s">
        <v>463</v>
      </c>
      <c r="D165" s="5" t="s">
        <v>637</v>
      </c>
      <c r="E165" s="53">
        <v>19.100146403762892</v>
      </c>
      <c r="F165" s="26" t="s">
        <v>730</v>
      </c>
      <c r="G165" s="32">
        <v>19.100146403762892</v>
      </c>
      <c r="H165" s="60">
        <v>19.100000000000001</v>
      </c>
    </row>
    <row r="166" spans="2:8" ht="16.5" hidden="1" customHeight="1" x14ac:dyDescent="0.2">
      <c r="B166" s="22" t="s">
        <v>657</v>
      </c>
      <c r="C166" s="22" t="s">
        <v>463</v>
      </c>
      <c r="D166" s="5" t="s">
        <v>658</v>
      </c>
      <c r="E166" s="53">
        <v>42.150328629723084</v>
      </c>
      <c r="F166" s="26" t="s">
        <v>733</v>
      </c>
      <c r="G166" s="31" t="s">
        <v>732</v>
      </c>
      <c r="H166" s="26" t="s">
        <v>733</v>
      </c>
    </row>
    <row r="167" spans="2:8" ht="16.5" hidden="1" customHeight="1" x14ac:dyDescent="0.2">
      <c r="B167" s="22" t="s">
        <v>646</v>
      </c>
      <c r="C167" s="22" t="s">
        <v>463</v>
      </c>
      <c r="D167" s="5" t="s">
        <v>647</v>
      </c>
      <c r="E167" s="53">
        <v>51.250350434538838</v>
      </c>
      <c r="F167" s="26" t="s">
        <v>733</v>
      </c>
      <c r="G167" s="31" t="s">
        <v>732</v>
      </c>
      <c r="H167" s="26" t="s">
        <v>733</v>
      </c>
    </row>
    <row r="168" spans="2:8" ht="16.5" hidden="1" customHeight="1" x14ac:dyDescent="0.2">
      <c r="B168" s="22" t="s">
        <v>225</v>
      </c>
      <c r="C168" s="22" t="s">
        <v>463</v>
      </c>
      <c r="D168" s="5" t="s">
        <v>671</v>
      </c>
      <c r="E168" s="53">
        <v>162.70831386474785</v>
      </c>
      <c r="F168" s="26" t="s">
        <v>732</v>
      </c>
      <c r="G168" s="31" t="s">
        <v>732</v>
      </c>
      <c r="H168" s="26" t="s">
        <v>732</v>
      </c>
    </row>
    <row r="169" spans="2:8" ht="16.5" hidden="1" customHeight="1" x14ac:dyDescent="0.2">
      <c r="B169" s="22" t="s">
        <v>480</v>
      </c>
      <c r="C169" s="22" t="s">
        <v>463</v>
      </c>
      <c r="D169" s="5" t="s">
        <v>481</v>
      </c>
      <c r="E169" s="53">
        <v>42.425318506058623</v>
      </c>
      <c r="F169" s="26">
        <v>15</v>
      </c>
      <c r="G169" s="31" t="s">
        <v>732</v>
      </c>
      <c r="H169" s="26" t="s">
        <v>732</v>
      </c>
    </row>
    <row r="170" spans="2:8" ht="16.5" hidden="1" customHeight="1" x14ac:dyDescent="0.2">
      <c r="B170" s="22" t="s">
        <v>482</v>
      </c>
      <c r="C170" s="22" t="s">
        <v>463</v>
      </c>
      <c r="D170" s="5" t="s">
        <v>483</v>
      </c>
      <c r="E170" s="53">
        <v>30.525246861664023</v>
      </c>
      <c r="F170" s="26">
        <v>15</v>
      </c>
      <c r="G170" s="31" t="s">
        <v>732</v>
      </c>
      <c r="H170" s="26" t="s">
        <v>732</v>
      </c>
    </row>
    <row r="171" spans="2:8" ht="16.5" hidden="1" customHeight="1" x14ac:dyDescent="0.2">
      <c r="B171" s="22" t="s">
        <v>644</v>
      </c>
      <c r="C171" s="22" t="s">
        <v>463</v>
      </c>
      <c r="D171" s="5" t="s">
        <v>645</v>
      </c>
      <c r="E171" s="53">
        <v>28.075195464598327</v>
      </c>
      <c r="F171" s="26">
        <v>15</v>
      </c>
      <c r="G171" s="31" t="s">
        <v>732</v>
      </c>
      <c r="H171" s="26" t="s">
        <v>732</v>
      </c>
    </row>
    <row r="172" spans="2:8" ht="16.5" hidden="1" customHeight="1" x14ac:dyDescent="0.2">
      <c r="B172" s="22" t="s">
        <v>484</v>
      </c>
      <c r="C172" s="22" t="s">
        <v>463</v>
      </c>
      <c r="D172" s="5" t="s">
        <v>485</v>
      </c>
      <c r="E172" s="53">
        <v>34.500264772762677</v>
      </c>
      <c r="F172" s="26">
        <v>15</v>
      </c>
      <c r="G172" s="31" t="s">
        <v>732</v>
      </c>
      <c r="H172" s="26" t="s">
        <v>732</v>
      </c>
    </row>
    <row r="173" spans="2:8" ht="16.5" hidden="1" customHeight="1" x14ac:dyDescent="0.2">
      <c r="B173" s="22" t="s">
        <v>461</v>
      </c>
      <c r="C173" s="22" t="s">
        <v>463</v>
      </c>
      <c r="D173" s="5" t="s">
        <v>462</v>
      </c>
      <c r="E173" s="53">
        <v>26.850200915802262</v>
      </c>
      <c r="F173" s="26" t="s">
        <v>733</v>
      </c>
      <c r="G173" s="31" t="s">
        <v>732</v>
      </c>
      <c r="H173" s="26" t="s">
        <v>733</v>
      </c>
    </row>
    <row r="174" spans="2:8" ht="16.5" hidden="1" customHeight="1" x14ac:dyDescent="0.2">
      <c r="B174" s="22" t="s">
        <v>638</v>
      </c>
      <c r="C174" s="22" t="s">
        <v>463</v>
      </c>
      <c r="D174" s="5" t="s">
        <v>639</v>
      </c>
      <c r="E174" s="53">
        <v>81.225555244058199</v>
      </c>
      <c r="F174" s="26" t="s">
        <v>733</v>
      </c>
      <c r="G174" s="31" t="s">
        <v>732</v>
      </c>
      <c r="H174" s="26" t="s">
        <v>733</v>
      </c>
    </row>
    <row r="175" spans="2:8" ht="16.5" hidden="1" customHeight="1" x14ac:dyDescent="0.2">
      <c r="B175" s="22" t="s">
        <v>494</v>
      </c>
      <c r="C175" s="22" t="s">
        <v>463</v>
      </c>
      <c r="D175" s="5" t="s">
        <v>495</v>
      </c>
      <c r="E175" s="53">
        <v>24.5501666510918</v>
      </c>
      <c r="F175" s="26">
        <v>20</v>
      </c>
      <c r="G175" s="31" t="s">
        <v>732</v>
      </c>
      <c r="H175" s="26" t="s">
        <v>732</v>
      </c>
    </row>
    <row r="176" spans="2:8" ht="16.5" hidden="1" customHeight="1" x14ac:dyDescent="0.2">
      <c r="B176" s="22" t="s">
        <v>496</v>
      </c>
      <c r="C176" s="22" t="s">
        <v>463</v>
      </c>
      <c r="D176" s="5" t="s">
        <v>497</v>
      </c>
      <c r="E176" s="53">
        <v>24.5501666510918</v>
      </c>
      <c r="F176" s="26">
        <v>20</v>
      </c>
      <c r="G176" s="31" t="s">
        <v>732</v>
      </c>
      <c r="H176" s="26" t="s">
        <v>732</v>
      </c>
    </row>
    <row r="177" spans="2:8" ht="16.5" hidden="1" customHeight="1" x14ac:dyDescent="0.2">
      <c r="B177" s="22" t="s">
        <v>498</v>
      </c>
      <c r="C177" s="22" t="s">
        <v>463</v>
      </c>
      <c r="D177" s="5" t="s">
        <v>499</v>
      </c>
      <c r="E177" s="53">
        <v>24.5501666510918</v>
      </c>
      <c r="F177" s="26">
        <v>20</v>
      </c>
      <c r="G177" s="31" t="s">
        <v>732</v>
      </c>
      <c r="H177" s="26" t="s">
        <v>732</v>
      </c>
    </row>
    <row r="178" spans="2:8" ht="16.5" hidden="1" customHeight="1" x14ac:dyDescent="0.2">
      <c r="B178" s="22" t="s">
        <v>500</v>
      </c>
      <c r="C178" s="22" t="s">
        <v>463</v>
      </c>
      <c r="D178" s="5" t="s">
        <v>501</v>
      </c>
      <c r="E178" s="53">
        <v>24.5501666510918</v>
      </c>
      <c r="F178" s="26">
        <v>20</v>
      </c>
      <c r="G178" s="31" t="s">
        <v>732</v>
      </c>
      <c r="H178" s="26" t="s">
        <v>732</v>
      </c>
    </row>
    <row r="179" spans="2:8" ht="16.5" hidden="1" customHeight="1" x14ac:dyDescent="0.2">
      <c r="B179" s="22" t="s">
        <v>502</v>
      </c>
      <c r="C179" s="22" t="s">
        <v>463</v>
      </c>
      <c r="D179" s="5" t="s">
        <v>503</v>
      </c>
      <c r="E179" s="53">
        <v>24.5501666510918</v>
      </c>
      <c r="F179" s="26">
        <v>20</v>
      </c>
      <c r="G179" s="31" t="s">
        <v>732</v>
      </c>
      <c r="H179" s="26" t="s">
        <v>732</v>
      </c>
    </row>
    <row r="180" spans="2:8" ht="16.5" hidden="1" customHeight="1" x14ac:dyDescent="0.2">
      <c r="B180" s="22" t="s">
        <v>504</v>
      </c>
      <c r="C180" s="22" t="s">
        <v>463</v>
      </c>
      <c r="D180" s="5" t="s">
        <v>505</v>
      </c>
      <c r="E180" s="53">
        <v>24.5501666510918</v>
      </c>
      <c r="F180" s="26">
        <v>20</v>
      </c>
      <c r="G180" s="31" t="s">
        <v>732</v>
      </c>
      <c r="H180" s="26" t="s">
        <v>732</v>
      </c>
    </row>
    <row r="181" spans="2:8" ht="16.5" hidden="1" customHeight="1" x14ac:dyDescent="0.2">
      <c r="B181" s="22" t="s">
        <v>506</v>
      </c>
      <c r="C181" s="22" t="s">
        <v>463</v>
      </c>
      <c r="D181" s="5" t="s">
        <v>507</v>
      </c>
      <c r="E181" s="53">
        <v>24.5501666510918</v>
      </c>
      <c r="F181" s="26">
        <v>20</v>
      </c>
      <c r="G181" s="31" t="s">
        <v>732</v>
      </c>
      <c r="H181" s="26" t="s">
        <v>732</v>
      </c>
    </row>
    <row r="182" spans="2:8" ht="16.5" hidden="1" customHeight="1" x14ac:dyDescent="0.2">
      <c r="B182" s="22" t="s">
        <v>508</v>
      </c>
      <c r="C182" s="22" t="s">
        <v>463</v>
      </c>
      <c r="D182" s="5" t="s">
        <v>509</v>
      </c>
      <c r="E182" s="53">
        <v>24.5501666510918</v>
      </c>
      <c r="F182" s="26">
        <v>20</v>
      </c>
      <c r="G182" s="31" t="s">
        <v>732</v>
      </c>
      <c r="H182" s="26" t="s">
        <v>732</v>
      </c>
    </row>
    <row r="183" spans="2:8" ht="16.5" hidden="1" customHeight="1" x14ac:dyDescent="0.2">
      <c r="B183" s="22" t="s">
        <v>510</v>
      </c>
      <c r="C183" s="22" t="s">
        <v>463</v>
      </c>
      <c r="D183" s="5" t="s">
        <v>511</v>
      </c>
      <c r="E183" s="53">
        <v>24.5501666510918</v>
      </c>
      <c r="F183" s="26">
        <v>20</v>
      </c>
      <c r="G183" s="31" t="s">
        <v>732</v>
      </c>
      <c r="H183" s="26" t="s">
        <v>732</v>
      </c>
    </row>
    <row r="184" spans="2:8" ht="16.5" hidden="1" customHeight="1" x14ac:dyDescent="0.2">
      <c r="B184" s="22" t="s">
        <v>512</v>
      </c>
      <c r="C184" s="22" t="s">
        <v>463</v>
      </c>
      <c r="D184" s="5" t="s">
        <v>513</v>
      </c>
      <c r="E184" s="53">
        <v>24.5501666510918</v>
      </c>
      <c r="F184" s="26">
        <v>20</v>
      </c>
      <c r="G184" s="31" t="s">
        <v>732</v>
      </c>
      <c r="H184" s="26" t="s">
        <v>732</v>
      </c>
    </row>
    <row r="185" spans="2:8" ht="16.5" customHeight="1" x14ac:dyDescent="0.2">
      <c r="B185" s="22" t="s">
        <v>326</v>
      </c>
      <c r="C185" s="22" t="s">
        <v>328</v>
      </c>
      <c r="D185" s="5" t="s">
        <v>327</v>
      </c>
      <c r="E185" s="53">
        <v>17.650126156433981</v>
      </c>
      <c r="F185" s="26">
        <v>12</v>
      </c>
      <c r="G185" s="31">
        <v>14</v>
      </c>
      <c r="H185" s="26">
        <v>14</v>
      </c>
    </row>
    <row r="186" spans="2:8" ht="16.5" customHeight="1" x14ac:dyDescent="0.2">
      <c r="B186" s="22" t="s">
        <v>329</v>
      </c>
      <c r="C186" s="22" t="s">
        <v>328</v>
      </c>
      <c r="D186" s="5" t="s">
        <v>330</v>
      </c>
      <c r="E186" s="53">
        <v>23.950160421144446</v>
      </c>
      <c r="F186" s="26">
        <v>12</v>
      </c>
      <c r="G186" s="31">
        <v>20</v>
      </c>
      <c r="H186" s="26">
        <v>20</v>
      </c>
    </row>
    <row r="187" spans="2:8" ht="16.5" hidden="1" customHeight="1" x14ac:dyDescent="0.2">
      <c r="B187" s="22" t="s">
        <v>534</v>
      </c>
      <c r="C187" s="22" t="s">
        <v>328</v>
      </c>
      <c r="D187" s="5" t="s">
        <v>535</v>
      </c>
      <c r="E187" s="53">
        <v>60.475407282808462</v>
      </c>
      <c r="F187" s="26" t="s">
        <v>733</v>
      </c>
      <c r="G187" s="31" t="s">
        <v>732</v>
      </c>
      <c r="H187" s="26" t="s">
        <v>733</v>
      </c>
    </row>
    <row r="188" spans="2:8" ht="16.5" hidden="1" customHeight="1" x14ac:dyDescent="0.2">
      <c r="B188" s="22" t="s">
        <v>536</v>
      </c>
      <c r="C188" s="22" t="s">
        <v>328</v>
      </c>
      <c r="D188" s="5" t="s">
        <v>537</v>
      </c>
      <c r="E188" s="53">
        <v>60.475407282808462</v>
      </c>
      <c r="F188" s="26" t="s">
        <v>733</v>
      </c>
      <c r="G188" s="31" t="s">
        <v>732</v>
      </c>
      <c r="H188" s="26" t="s">
        <v>733</v>
      </c>
    </row>
    <row r="189" spans="2:8" ht="16.5" hidden="1" customHeight="1" x14ac:dyDescent="0.2">
      <c r="B189" s="22" t="s">
        <v>668</v>
      </c>
      <c r="C189" s="22" t="s">
        <v>328</v>
      </c>
      <c r="D189" s="5" t="s">
        <v>669</v>
      </c>
      <c r="E189" s="53">
        <v>45.950347319565154</v>
      </c>
      <c r="F189" s="26" t="s">
        <v>733</v>
      </c>
      <c r="G189" s="31" t="s">
        <v>732</v>
      </c>
      <c r="H189" s="26" t="s">
        <v>733</v>
      </c>
    </row>
    <row r="190" spans="2:8" ht="16.5" hidden="1" customHeight="1" x14ac:dyDescent="0.2">
      <c r="B190" s="22" t="s">
        <v>280</v>
      </c>
      <c r="C190" s="22" t="s">
        <v>266</v>
      </c>
      <c r="D190" s="5" t="s">
        <v>281</v>
      </c>
      <c r="E190" s="53">
        <v>40.825281126374485</v>
      </c>
      <c r="F190" s="26">
        <v>20</v>
      </c>
      <c r="G190" s="31" t="s">
        <v>732</v>
      </c>
      <c r="H190" s="26" t="s">
        <v>732</v>
      </c>
    </row>
    <row r="191" spans="2:8" ht="16.5" hidden="1" customHeight="1" x14ac:dyDescent="0.2">
      <c r="B191" s="22" t="s">
        <v>282</v>
      </c>
      <c r="C191" s="22" t="s">
        <v>266</v>
      </c>
      <c r="D191" s="5" t="s">
        <v>283</v>
      </c>
      <c r="E191" s="53">
        <v>40.825281126374485</v>
      </c>
      <c r="F191" s="26">
        <v>20</v>
      </c>
      <c r="G191" s="31" t="s">
        <v>732</v>
      </c>
      <c r="H191" s="26" t="s">
        <v>732</v>
      </c>
    </row>
    <row r="192" spans="2:8" ht="16.5" hidden="1" customHeight="1" x14ac:dyDescent="0.2">
      <c r="B192" s="22" t="s">
        <v>284</v>
      </c>
      <c r="C192" s="22" t="s">
        <v>266</v>
      </c>
      <c r="D192" s="5" t="s">
        <v>285</v>
      </c>
      <c r="E192" s="53">
        <v>40.825281126374485</v>
      </c>
      <c r="F192" s="26">
        <v>20</v>
      </c>
      <c r="G192" s="31" t="s">
        <v>732</v>
      </c>
      <c r="H192" s="26" t="s">
        <v>732</v>
      </c>
    </row>
    <row r="193" spans="2:8" ht="16.5" hidden="1" customHeight="1" x14ac:dyDescent="0.2">
      <c r="B193" s="22" t="s">
        <v>286</v>
      </c>
      <c r="C193" s="22" t="s">
        <v>266</v>
      </c>
      <c r="D193" s="5" t="s">
        <v>287</v>
      </c>
      <c r="E193" s="53">
        <v>40.825281126374485</v>
      </c>
      <c r="F193" s="26">
        <v>20</v>
      </c>
      <c r="G193" s="31" t="s">
        <v>732</v>
      </c>
      <c r="H193" s="26" t="s">
        <v>732</v>
      </c>
    </row>
    <row r="194" spans="2:8" ht="16.5" hidden="1" customHeight="1" x14ac:dyDescent="0.2">
      <c r="B194" s="22" t="s">
        <v>403</v>
      </c>
      <c r="C194" s="22" t="s">
        <v>266</v>
      </c>
      <c r="D194" s="5" t="s">
        <v>404</v>
      </c>
      <c r="E194" s="53">
        <v>30.000186898420708</v>
      </c>
      <c r="F194" s="26">
        <v>20</v>
      </c>
      <c r="G194" s="31" t="s">
        <v>732</v>
      </c>
      <c r="H194" s="26" t="s">
        <v>732</v>
      </c>
    </row>
    <row r="195" spans="2:8" ht="16.5" customHeight="1" x14ac:dyDescent="0.2">
      <c r="B195" s="22" t="s">
        <v>405</v>
      </c>
      <c r="C195" s="22" t="s">
        <v>266</v>
      </c>
      <c r="D195" s="5" t="s">
        <v>406</v>
      </c>
      <c r="E195" s="53">
        <v>23.500171323552319</v>
      </c>
      <c r="F195" s="26">
        <v>20</v>
      </c>
      <c r="G195" s="31">
        <v>23</v>
      </c>
      <c r="H195" s="26">
        <v>23</v>
      </c>
    </row>
    <row r="196" spans="2:8" ht="16.5" customHeight="1" x14ac:dyDescent="0.2">
      <c r="B196" s="22" t="s">
        <v>264</v>
      </c>
      <c r="C196" s="22" t="s">
        <v>266</v>
      </c>
      <c r="D196" s="5" t="s">
        <v>265</v>
      </c>
      <c r="E196" s="53">
        <v>24.5501666510918</v>
      </c>
      <c r="F196" s="26">
        <v>20</v>
      </c>
      <c r="G196" s="31">
        <v>23</v>
      </c>
      <c r="H196" s="26">
        <v>23</v>
      </c>
    </row>
    <row r="197" spans="2:8" ht="16.5" customHeight="1" x14ac:dyDescent="0.2">
      <c r="B197" s="22" t="s">
        <v>634</v>
      </c>
      <c r="C197" s="22" t="s">
        <v>266</v>
      </c>
      <c r="D197" s="5" t="s">
        <v>635</v>
      </c>
      <c r="E197" s="53">
        <v>25.000155748683927</v>
      </c>
      <c r="F197" s="26">
        <v>20</v>
      </c>
      <c r="G197" s="31">
        <v>23</v>
      </c>
      <c r="H197" s="26">
        <v>23</v>
      </c>
    </row>
    <row r="198" spans="2:8" ht="16.5" customHeight="1" x14ac:dyDescent="0.2">
      <c r="B198" s="22" t="s">
        <v>554</v>
      </c>
      <c r="C198" s="22" t="s">
        <v>266</v>
      </c>
      <c r="D198" s="5" t="s">
        <v>555</v>
      </c>
      <c r="E198" s="53">
        <v>26.5501666510918</v>
      </c>
      <c r="F198" s="26">
        <v>20</v>
      </c>
      <c r="G198" s="31">
        <v>23</v>
      </c>
      <c r="H198" s="26">
        <v>23</v>
      </c>
    </row>
    <row r="199" spans="2:8" ht="16.5" customHeight="1" x14ac:dyDescent="0.2">
      <c r="B199" s="22" t="s">
        <v>556</v>
      </c>
      <c r="C199" s="22" t="s">
        <v>266</v>
      </c>
      <c r="D199" s="5" t="s">
        <v>557</v>
      </c>
      <c r="E199" s="53">
        <v>24.5501666510918</v>
      </c>
      <c r="F199" s="26">
        <v>20</v>
      </c>
      <c r="G199" s="31">
        <v>23</v>
      </c>
      <c r="H199" s="26">
        <v>23</v>
      </c>
    </row>
    <row r="200" spans="2:8" ht="16.5" hidden="1" customHeight="1" x14ac:dyDescent="0.2">
      <c r="B200" s="22" t="s">
        <v>574</v>
      </c>
      <c r="C200" s="22" t="s">
        <v>266</v>
      </c>
      <c r="D200" s="5" t="s">
        <v>575</v>
      </c>
      <c r="E200" s="53">
        <v>82.750584057564708</v>
      </c>
      <c r="F200" s="26" t="s">
        <v>733</v>
      </c>
      <c r="G200" s="31" t="s">
        <v>732</v>
      </c>
      <c r="H200" s="26" t="s">
        <v>733</v>
      </c>
    </row>
    <row r="201" spans="2:8" ht="16.5" hidden="1" customHeight="1" x14ac:dyDescent="0.2">
      <c r="B201" s="22" t="s">
        <v>596</v>
      </c>
      <c r="C201" s="22" t="s">
        <v>266</v>
      </c>
      <c r="D201" s="5" t="s">
        <v>597</v>
      </c>
      <c r="E201" s="53">
        <v>29.175217269414077</v>
      </c>
      <c r="F201" s="26">
        <v>20</v>
      </c>
      <c r="G201" s="31" t="s">
        <v>732</v>
      </c>
      <c r="H201" s="26" t="s">
        <v>732</v>
      </c>
    </row>
    <row r="202" spans="2:8" ht="16.5" customHeight="1" x14ac:dyDescent="0.2">
      <c r="B202" s="22" t="s">
        <v>604</v>
      </c>
      <c r="C202" s="22" t="s">
        <v>266</v>
      </c>
      <c r="D202" s="5" t="s">
        <v>605</v>
      </c>
      <c r="E202" s="53">
        <v>18.825156527427342</v>
      </c>
      <c r="F202" s="26" t="s">
        <v>730</v>
      </c>
      <c r="G202" s="32">
        <v>18.825156527427342</v>
      </c>
      <c r="H202" s="60">
        <v>19.8251565274273</v>
      </c>
    </row>
    <row r="203" spans="2:8" ht="16.5" hidden="1" customHeight="1" x14ac:dyDescent="0.2">
      <c r="B203" s="22" t="s">
        <v>624</v>
      </c>
      <c r="C203" s="22" t="s">
        <v>266</v>
      </c>
      <c r="D203" s="5" t="s">
        <v>625</v>
      </c>
      <c r="E203" s="53">
        <v>14.150079431828804</v>
      </c>
      <c r="F203" s="26" t="s">
        <v>733</v>
      </c>
      <c r="G203" s="31" t="s">
        <v>732</v>
      </c>
      <c r="H203" s="26" t="s">
        <v>733</v>
      </c>
    </row>
    <row r="204" spans="2:8" ht="16.5" hidden="1" customHeight="1" x14ac:dyDescent="0.2">
      <c r="B204" s="22" t="s">
        <v>84</v>
      </c>
      <c r="C204" s="22" t="s">
        <v>86</v>
      </c>
      <c r="D204" s="5" t="s">
        <v>85</v>
      </c>
      <c r="E204" s="53">
        <v>67.200448556209707</v>
      </c>
      <c r="F204" s="26" t="s">
        <v>732</v>
      </c>
      <c r="G204" s="31" t="s">
        <v>732</v>
      </c>
      <c r="H204" s="26" t="s">
        <v>732</v>
      </c>
    </row>
    <row r="205" spans="2:8" ht="16.5" hidden="1" customHeight="1" x14ac:dyDescent="0.2">
      <c r="B205" s="22" t="s">
        <v>312</v>
      </c>
      <c r="C205" s="22" t="s">
        <v>86</v>
      </c>
      <c r="D205" s="5" t="s">
        <v>313</v>
      </c>
      <c r="E205" s="53">
        <v>33.600224278104854</v>
      </c>
      <c r="F205" s="26">
        <v>15</v>
      </c>
      <c r="G205" s="31" t="s">
        <v>732</v>
      </c>
      <c r="H205" s="26" t="s">
        <v>732</v>
      </c>
    </row>
    <row r="206" spans="2:8" ht="16.5" hidden="1" customHeight="1" x14ac:dyDescent="0.2">
      <c r="B206" s="22" t="s">
        <v>314</v>
      </c>
      <c r="C206" s="22" t="s">
        <v>86</v>
      </c>
      <c r="D206" s="5" t="s">
        <v>315</v>
      </c>
      <c r="E206" s="53">
        <v>33.600224278104854</v>
      </c>
      <c r="F206" s="26">
        <v>15</v>
      </c>
      <c r="G206" s="31" t="s">
        <v>732</v>
      </c>
      <c r="H206" s="26" t="s">
        <v>732</v>
      </c>
    </row>
    <row r="207" spans="2:8" ht="16.5" customHeight="1" x14ac:dyDescent="0.2">
      <c r="B207" s="22" t="s">
        <v>594</v>
      </c>
      <c r="C207" s="22" t="s">
        <v>86</v>
      </c>
      <c r="D207" s="5" t="s">
        <v>595</v>
      </c>
      <c r="E207" s="53">
        <v>22.400149518736569</v>
      </c>
      <c r="F207" s="26">
        <v>20</v>
      </c>
      <c r="G207" s="31">
        <v>22.400149518736569</v>
      </c>
      <c r="H207" s="26">
        <v>22.400149518736569</v>
      </c>
    </row>
    <row r="208" spans="2:8" ht="16.5" customHeight="1" x14ac:dyDescent="0.2">
      <c r="B208" s="22" t="s">
        <v>600</v>
      </c>
      <c r="C208" s="22" t="s">
        <v>86</v>
      </c>
      <c r="D208" s="5" t="s">
        <v>601</v>
      </c>
      <c r="E208" s="53">
        <v>21.750179110986515</v>
      </c>
      <c r="F208" s="26">
        <v>20</v>
      </c>
      <c r="G208" s="31">
        <v>21.750179110986515</v>
      </c>
      <c r="H208" s="26">
        <v>21.750179110986515</v>
      </c>
    </row>
    <row r="209" spans="2:8" ht="16.5" customHeight="1" x14ac:dyDescent="0.2">
      <c r="B209" s="22" t="s">
        <v>598</v>
      </c>
      <c r="C209" s="22" t="s">
        <v>86</v>
      </c>
      <c r="D209" s="5" t="s">
        <v>599</v>
      </c>
      <c r="E209" s="53">
        <v>21.750179110986515</v>
      </c>
      <c r="F209" s="26">
        <v>20</v>
      </c>
      <c r="G209" s="31">
        <v>21.750179110986515</v>
      </c>
      <c r="H209" s="26">
        <v>21.750179110986515</v>
      </c>
    </row>
    <row r="210" spans="2:8" ht="16.5" customHeight="1" x14ac:dyDescent="0.2">
      <c r="B210" s="22" t="s">
        <v>602</v>
      </c>
      <c r="C210" s="22" t="s">
        <v>86</v>
      </c>
      <c r="D210" s="5" t="s">
        <v>603</v>
      </c>
      <c r="E210" s="53">
        <v>26.7502102607233</v>
      </c>
      <c r="F210" s="26">
        <v>20</v>
      </c>
      <c r="G210" s="31">
        <v>26.7502102607233</v>
      </c>
      <c r="H210" s="26">
        <v>26.7502102607233</v>
      </c>
    </row>
    <row r="211" spans="2:8" ht="16.5" customHeight="1" x14ac:dyDescent="0.2">
      <c r="B211" s="22" t="s">
        <v>592</v>
      </c>
      <c r="C211" s="22" t="s">
        <v>86</v>
      </c>
      <c r="D211" s="5" t="s">
        <v>593</v>
      </c>
      <c r="E211" s="53">
        <v>23.125190792137808</v>
      </c>
      <c r="F211" s="26">
        <v>20</v>
      </c>
      <c r="G211" s="31">
        <v>23.125190792137808</v>
      </c>
      <c r="H211" s="26">
        <v>23.125190792137808</v>
      </c>
    </row>
    <row r="212" spans="2:8" ht="16.5" hidden="1" customHeight="1" x14ac:dyDescent="0.2">
      <c r="B212" s="22" t="s">
        <v>290</v>
      </c>
      <c r="C212" s="22" t="s">
        <v>277</v>
      </c>
      <c r="D212" s="5" t="s">
        <v>291</v>
      </c>
      <c r="E212" s="53">
        <v>25.6751705448089</v>
      </c>
      <c r="F212" s="26">
        <v>20</v>
      </c>
      <c r="G212" s="31">
        <v>25.6751705448089</v>
      </c>
      <c r="H212" s="60" t="s">
        <v>732</v>
      </c>
    </row>
    <row r="213" spans="2:8" ht="16.5" hidden="1" customHeight="1" x14ac:dyDescent="0.2">
      <c r="B213" s="22" t="s">
        <v>331</v>
      </c>
      <c r="C213" s="22" t="s">
        <v>277</v>
      </c>
      <c r="D213" s="5" t="s">
        <v>332</v>
      </c>
      <c r="E213" s="53">
        <v>31.825249976637703</v>
      </c>
      <c r="F213" s="26">
        <v>20</v>
      </c>
      <c r="G213" s="31">
        <v>28</v>
      </c>
      <c r="H213" s="60" t="s">
        <v>732</v>
      </c>
    </row>
    <row r="214" spans="2:8" ht="16.5" hidden="1" customHeight="1" x14ac:dyDescent="0.2">
      <c r="B214" s="22" t="s">
        <v>275</v>
      </c>
      <c r="C214" s="22" t="s">
        <v>277</v>
      </c>
      <c r="D214" s="5" t="s">
        <v>276</v>
      </c>
      <c r="E214" s="53">
        <v>39.500295922499461</v>
      </c>
      <c r="F214" s="26">
        <v>20</v>
      </c>
      <c r="G214" s="31" t="s">
        <v>732</v>
      </c>
      <c r="H214" s="26" t="s">
        <v>732</v>
      </c>
    </row>
    <row r="215" spans="2:8" ht="16.5" hidden="1" customHeight="1" x14ac:dyDescent="0.2">
      <c r="B215" s="22" t="s">
        <v>278</v>
      </c>
      <c r="C215" s="22" t="s">
        <v>277</v>
      </c>
      <c r="D215" s="5" t="s">
        <v>279</v>
      </c>
      <c r="E215" s="53">
        <v>39.500295922499461</v>
      </c>
      <c r="F215" s="26">
        <v>20</v>
      </c>
      <c r="G215" s="31" t="s">
        <v>732</v>
      </c>
      <c r="H215" s="26" t="s">
        <v>732</v>
      </c>
    </row>
    <row r="216" spans="2:8" ht="16.5" hidden="1" customHeight="1" x14ac:dyDescent="0.2">
      <c r="B216" s="22" t="s">
        <v>324</v>
      </c>
      <c r="C216" s="22" t="s">
        <v>277</v>
      </c>
      <c r="D216" s="5" t="s">
        <v>325</v>
      </c>
      <c r="E216" s="53">
        <v>30.07519546459833</v>
      </c>
      <c r="F216" s="26">
        <v>20</v>
      </c>
      <c r="G216" s="31" t="s">
        <v>732</v>
      </c>
      <c r="H216" s="26" t="s">
        <v>732</v>
      </c>
    </row>
    <row r="217" spans="2:8" ht="16.5" hidden="1" customHeight="1" x14ac:dyDescent="0.2">
      <c r="B217" s="22" t="s">
        <v>566</v>
      </c>
      <c r="C217" s="22" t="s">
        <v>277</v>
      </c>
      <c r="D217" s="5" t="s">
        <v>567</v>
      </c>
      <c r="E217" s="53">
        <v>39.998317914213629</v>
      </c>
      <c r="F217" s="26">
        <v>20</v>
      </c>
      <c r="G217" s="31" t="s">
        <v>732</v>
      </c>
      <c r="H217" s="26" t="s">
        <v>732</v>
      </c>
    </row>
    <row r="218" spans="2:8" ht="16.5" hidden="1" customHeight="1" x14ac:dyDescent="0.2">
      <c r="B218" s="22" t="s">
        <v>568</v>
      </c>
      <c r="C218" s="22" t="s">
        <v>277</v>
      </c>
      <c r="D218" s="5" t="s">
        <v>569</v>
      </c>
      <c r="E218" s="53">
        <v>33.350216490670654</v>
      </c>
      <c r="F218" s="26">
        <v>20</v>
      </c>
      <c r="G218" s="31" t="s">
        <v>732</v>
      </c>
      <c r="H218" s="26" t="s">
        <v>732</v>
      </c>
    </row>
    <row r="219" spans="2:8" ht="16.5" customHeight="1" x14ac:dyDescent="0.2">
      <c r="B219" s="22" t="s">
        <v>649</v>
      </c>
      <c r="C219" s="22" t="s">
        <v>249</v>
      </c>
      <c r="D219" s="5" t="s">
        <v>650</v>
      </c>
      <c r="E219" s="53">
        <v>9.950098121670873</v>
      </c>
      <c r="F219" s="26" t="s">
        <v>730</v>
      </c>
      <c r="G219" s="32">
        <v>9.950098121670873</v>
      </c>
      <c r="H219" s="60">
        <v>9.950098121670873</v>
      </c>
    </row>
    <row r="220" spans="2:8" ht="16.5" customHeight="1" x14ac:dyDescent="0.2">
      <c r="B220" s="22" t="s">
        <v>322</v>
      </c>
      <c r="C220" s="22" t="s">
        <v>249</v>
      </c>
      <c r="D220" s="5" t="s">
        <v>323</v>
      </c>
      <c r="E220" s="53">
        <v>2.1749992212565807</v>
      </c>
      <c r="F220" s="26" t="s">
        <v>730</v>
      </c>
      <c r="G220" s="32">
        <v>2.1749992212565807</v>
      </c>
      <c r="H220" s="60">
        <v>2.1749992212565807</v>
      </c>
    </row>
    <row r="221" spans="2:8" ht="16.5" hidden="1" customHeight="1" x14ac:dyDescent="0.2">
      <c r="B221" s="22" t="s">
        <v>672</v>
      </c>
      <c r="C221" s="22" t="s">
        <v>249</v>
      </c>
      <c r="D221" s="5" t="s">
        <v>673</v>
      </c>
      <c r="E221" s="53">
        <v>33.875214154440393</v>
      </c>
      <c r="F221" s="26" t="s">
        <v>733</v>
      </c>
      <c r="G221" s="31" t="s">
        <v>732</v>
      </c>
      <c r="H221" s="26" t="s">
        <v>732</v>
      </c>
    </row>
    <row r="222" spans="2:8" ht="16.5" hidden="1" customHeight="1" x14ac:dyDescent="0.2">
      <c r="B222" s="22" t="s">
        <v>369</v>
      </c>
      <c r="C222" s="22" t="s">
        <v>249</v>
      </c>
      <c r="D222" s="5" t="s">
        <v>370</v>
      </c>
      <c r="E222" s="53">
        <v>12.750085661776158</v>
      </c>
      <c r="F222" s="26">
        <v>9</v>
      </c>
      <c r="G222" s="31" t="s">
        <v>732</v>
      </c>
      <c r="H222" s="26" t="s">
        <v>732</v>
      </c>
    </row>
    <row r="223" spans="2:8" ht="16.5" customHeight="1" x14ac:dyDescent="0.2">
      <c r="B223" s="22" t="s">
        <v>632</v>
      </c>
      <c r="C223" s="22" t="s">
        <v>249</v>
      </c>
      <c r="D223" s="5" t="s">
        <v>633</v>
      </c>
      <c r="E223" s="53">
        <v>2.1749992212565807</v>
      </c>
      <c r="F223" s="26" t="s">
        <v>730</v>
      </c>
      <c r="G223" s="32">
        <v>2.1749992212565807</v>
      </c>
      <c r="H223" s="60">
        <v>2.1749992212565807</v>
      </c>
    </row>
    <row r="224" spans="2:8" ht="16.5" customHeight="1" x14ac:dyDescent="0.2">
      <c r="B224" s="22" t="s">
        <v>248</v>
      </c>
      <c r="C224" s="22" t="s">
        <v>249</v>
      </c>
      <c r="D224" s="5" t="s">
        <v>698</v>
      </c>
      <c r="E224" s="53">
        <v>7.2500389371709817</v>
      </c>
      <c r="F224" s="26" t="s">
        <v>730</v>
      </c>
      <c r="G224" s="32">
        <v>7.2500389371709817</v>
      </c>
      <c r="H224" s="60">
        <v>7.2500389371709817</v>
      </c>
    </row>
    <row r="225" spans="2:8" ht="16.5" customHeight="1" x14ac:dyDescent="0.2">
      <c r="B225" s="22" t="s">
        <v>459</v>
      </c>
      <c r="C225" s="22" t="s">
        <v>249</v>
      </c>
      <c r="D225" s="5" t="s">
        <v>460</v>
      </c>
      <c r="E225" s="53">
        <v>11.350091891723515</v>
      </c>
      <c r="F225" s="26" t="s">
        <v>730</v>
      </c>
      <c r="G225" s="32">
        <v>11.350091891723515</v>
      </c>
      <c r="H225" s="60">
        <v>11.350091891723515</v>
      </c>
    </row>
    <row r="226" spans="2:8" ht="16.5" hidden="1" customHeight="1" x14ac:dyDescent="0.2">
      <c r="B226" s="22" t="s">
        <v>468</v>
      </c>
      <c r="C226" s="22" t="s">
        <v>249</v>
      </c>
      <c r="D226" s="5" t="s">
        <v>469</v>
      </c>
      <c r="E226" s="53">
        <v>15.625081768059061</v>
      </c>
      <c r="F226" s="26">
        <v>10</v>
      </c>
      <c r="G226" s="31" t="s">
        <v>732</v>
      </c>
      <c r="H226" s="26" t="s">
        <v>732</v>
      </c>
    </row>
    <row r="227" spans="2:8" ht="16.5" customHeight="1" x14ac:dyDescent="0.2">
      <c r="B227" s="22" t="s">
        <v>544</v>
      </c>
      <c r="C227" s="22" t="s">
        <v>249</v>
      </c>
      <c r="D227" s="5" t="s">
        <v>545</v>
      </c>
      <c r="E227" s="53">
        <v>3.2500389371709808</v>
      </c>
      <c r="F227" s="26" t="s">
        <v>730</v>
      </c>
      <c r="G227" s="32">
        <v>3.2500389371709808</v>
      </c>
      <c r="H227" s="60">
        <v>3.2500389371709808</v>
      </c>
    </row>
    <row r="228" spans="2:8" ht="16.5" customHeight="1" x14ac:dyDescent="0.2">
      <c r="B228" s="22" t="s">
        <v>546</v>
      </c>
      <c r="C228" s="22" t="s">
        <v>249</v>
      </c>
      <c r="D228" s="5" t="s">
        <v>547</v>
      </c>
      <c r="E228" s="53">
        <v>1.4500202473289101</v>
      </c>
      <c r="F228" s="26" t="s">
        <v>730</v>
      </c>
      <c r="G228" s="32">
        <v>1.4500202473289101</v>
      </c>
      <c r="H228" s="60">
        <v>1.4500202473289101</v>
      </c>
    </row>
    <row r="229" spans="2:8" ht="16.5" customHeight="1" x14ac:dyDescent="0.2">
      <c r="B229" s="22" t="s">
        <v>578</v>
      </c>
      <c r="C229" s="22" t="s">
        <v>249</v>
      </c>
      <c r="D229" s="5" t="s">
        <v>579</v>
      </c>
      <c r="E229" s="53">
        <v>2.1749992212565807</v>
      </c>
      <c r="F229" s="26" t="s">
        <v>730</v>
      </c>
      <c r="G229" s="32">
        <v>2.1749992212565807</v>
      </c>
      <c r="H229" s="60">
        <v>2.1749992212565807</v>
      </c>
    </row>
    <row r="230" spans="2:8" ht="16.5" hidden="1" customHeight="1" x14ac:dyDescent="0.2">
      <c r="B230" s="22" t="s">
        <v>584</v>
      </c>
      <c r="C230" s="22" t="s">
        <v>249</v>
      </c>
      <c r="D230" s="5" t="s">
        <v>585</v>
      </c>
      <c r="E230" s="53">
        <v>44.350309939881015</v>
      </c>
      <c r="F230" s="26">
        <v>20</v>
      </c>
      <c r="G230" s="31" t="s">
        <v>732</v>
      </c>
      <c r="H230" s="26" t="s">
        <v>732</v>
      </c>
    </row>
    <row r="231" spans="2:8" ht="16.5" customHeight="1" x14ac:dyDescent="0.2">
      <c r="B231" s="22" t="s">
        <v>586</v>
      </c>
      <c r="C231" s="22" t="s">
        <v>249</v>
      </c>
      <c r="D231" s="5" t="s">
        <v>587</v>
      </c>
      <c r="E231" s="53">
        <v>5.9750179110986519</v>
      </c>
      <c r="F231" s="26" t="s">
        <v>730</v>
      </c>
      <c r="G231" s="32">
        <v>5.9750179110986519</v>
      </c>
      <c r="H231" s="60">
        <v>5.9750179110986501</v>
      </c>
    </row>
    <row r="232" spans="2:8" ht="16.5" hidden="1" customHeight="1" x14ac:dyDescent="0.2">
      <c r="B232" s="22" t="s">
        <v>588</v>
      </c>
      <c r="C232" s="22" t="s">
        <v>249</v>
      </c>
      <c r="D232" s="5" t="s">
        <v>589</v>
      </c>
      <c r="E232" s="53">
        <v>26.7502102607233</v>
      </c>
      <c r="F232" s="26">
        <v>12</v>
      </c>
      <c r="G232" s="31" t="s">
        <v>732</v>
      </c>
      <c r="H232" s="26" t="s">
        <v>732</v>
      </c>
    </row>
    <row r="233" spans="2:8" ht="16.5" hidden="1" customHeight="1" x14ac:dyDescent="0.2">
      <c r="B233" s="22" t="s">
        <v>250</v>
      </c>
      <c r="C233" s="22" t="s">
        <v>171</v>
      </c>
      <c r="D233" s="5" t="s">
        <v>251</v>
      </c>
      <c r="E233" s="53">
        <v>298.65221318879861</v>
      </c>
      <c r="F233" s="26" t="s">
        <v>732</v>
      </c>
      <c r="G233" s="31" t="s">
        <v>732</v>
      </c>
      <c r="H233" s="26" t="s">
        <v>732</v>
      </c>
    </row>
    <row r="234" spans="2:8" ht="16.5" customHeight="1" x14ac:dyDescent="0.2">
      <c r="B234" s="22" t="s">
        <v>178</v>
      </c>
      <c r="C234" s="22" t="s">
        <v>171</v>
      </c>
      <c r="D234" s="5" t="s">
        <v>699</v>
      </c>
      <c r="E234" s="53">
        <v>12.750085661776158</v>
      </c>
      <c r="F234" s="26">
        <v>12</v>
      </c>
      <c r="G234" s="31">
        <v>12</v>
      </c>
      <c r="H234" s="26">
        <v>12</v>
      </c>
    </row>
    <row r="235" spans="2:8" ht="16.5" customHeight="1" x14ac:dyDescent="0.2">
      <c r="B235" s="22" t="s">
        <v>648</v>
      </c>
      <c r="C235" s="22" t="s">
        <v>171</v>
      </c>
      <c r="D235" s="5" t="s">
        <v>700</v>
      </c>
      <c r="E235" s="53">
        <v>10.650095006697194</v>
      </c>
      <c r="F235" s="26" t="s">
        <v>730</v>
      </c>
      <c r="G235" s="32">
        <v>10.650095006697194</v>
      </c>
      <c r="H235" s="60">
        <v>10.65</v>
      </c>
    </row>
    <row r="236" spans="2:8" ht="19.5" customHeight="1" x14ac:dyDescent="0.2">
      <c r="B236" s="22" t="s">
        <v>701</v>
      </c>
      <c r="C236" s="22" t="s">
        <v>171</v>
      </c>
      <c r="D236" s="5" t="s">
        <v>702</v>
      </c>
      <c r="E236" s="53">
        <v>39.200261657788992</v>
      </c>
      <c r="F236" s="26" t="s">
        <v>734</v>
      </c>
      <c r="G236" s="32">
        <v>39.200261657788992</v>
      </c>
      <c r="H236" s="60">
        <v>39.200000000000003</v>
      </c>
    </row>
    <row r="237" spans="2:8" ht="16.5" hidden="1" customHeight="1" x14ac:dyDescent="0.2">
      <c r="B237" s="22" t="s">
        <v>169</v>
      </c>
      <c r="C237" s="22" t="s">
        <v>171</v>
      </c>
      <c r="D237" s="5" t="s">
        <v>170</v>
      </c>
      <c r="E237" s="53">
        <v>77.525215711927231</v>
      </c>
      <c r="F237" s="26" t="s">
        <v>734</v>
      </c>
      <c r="G237" s="32" t="s">
        <v>732</v>
      </c>
      <c r="H237" s="60" t="s">
        <v>732</v>
      </c>
    </row>
    <row r="238" spans="2:8" ht="16.5" hidden="1" customHeight="1" x14ac:dyDescent="0.2">
      <c r="B238" s="22" t="s">
        <v>172</v>
      </c>
      <c r="C238" s="22" t="s">
        <v>171</v>
      </c>
      <c r="D238" s="5" t="s">
        <v>173</v>
      </c>
      <c r="E238" s="53">
        <v>49.553998068716325</v>
      </c>
      <c r="F238" s="26" t="s">
        <v>734</v>
      </c>
      <c r="G238" s="32" t="s">
        <v>732</v>
      </c>
      <c r="H238" s="60" t="s">
        <v>732</v>
      </c>
    </row>
    <row r="239" spans="2:8" ht="16.5" hidden="1" customHeight="1" x14ac:dyDescent="0.2">
      <c r="B239" s="22" t="s">
        <v>174</v>
      </c>
      <c r="C239" s="22" t="s">
        <v>171</v>
      </c>
      <c r="D239" s="5" t="s">
        <v>175</v>
      </c>
      <c r="E239" s="53">
        <v>114.25081768059061</v>
      </c>
      <c r="F239" s="26" t="s">
        <v>734</v>
      </c>
      <c r="G239" s="32" t="s">
        <v>732</v>
      </c>
      <c r="H239" s="60" t="s">
        <v>732</v>
      </c>
    </row>
    <row r="240" spans="2:8" ht="16.5" hidden="1" customHeight="1" x14ac:dyDescent="0.2">
      <c r="B240" s="22" t="s">
        <v>176</v>
      </c>
      <c r="C240" s="22" t="s">
        <v>171</v>
      </c>
      <c r="D240" s="5" t="s">
        <v>177</v>
      </c>
      <c r="E240" s="53">
        <v>247.27682771080586</v>
      </c>
      <c r="F240" s="26" t="s">
        <v>734</v>
      </c>
      <c r="G240" s="32" t="s">
        <v>732</v>
      </c>
      <c r="H240" s="60" t="s">
        <v>732</v>
      </c>
    </row>
    <row r="241" spans="2:8" ht="16.5" hidden="1" customHeight="1" x14ac:dyDescent="0.2">
      <c r="B241" s="22" t="s">
        <v>703</v>
      </c>
      <c r="C241" s="22" t="s">
        <v>171</v>
      </c>
      <c r="D241" s="5" t="s">
        <v>704</v>
      </c>
      <c r="E241" s="53">
        <v>30.900227393078531</v>
      </c>
      <c r="F241" s="26" t="s">
        <v>734</v>
      </c>
      <c r="G241" s="32" t="s">
        <v>732</v>
      </c>
      <c r="H241" s="60" t="s">
        <v>732</v>
      </c>
    </row>
    <row r="242" spans="2:8" ht="16.5" hidden="1" customHeight="1" x14ac:dyDescent="0.2">
      <c r="B242" s="22" t="s">
        <v>179</v>
      </c>
      <c r="C242" s="22" t="s">
        <v>171</v>
      </c>
      <c r="D242" s="5" t="s">
        <v>180</v>
      </c>
      <c r="E242" s="53">
        <v>64.375478927203062</v>
      </c>
      <c r="F242" s="26" t="s">
        <v>734</v>
      </c>
      <c r="G242" s="32" t="s">
        <v>732</v>
      </c>
      <c r="H242" s="60" t="s">
        <v>732</v>
      </c>
    </row>
    <row r="243" spans="2:8" ht="16.5" customHeight="1" x14ac:dyDescent="0.2">
      <c r="B243" s="22" t="s">
        <v>181</v>
      </c>
      <c r="C243" s="22" t="s">
        <v>171</v>
      </c>
      <c r="D243" s="5" t="s">
        <v>182</v>
      </c>
      <c r="E243" s="53">
        <v>38.525246861664023</v>
      </c>
      <c r="F243" s="26" t="s">
        <v>734</v>
      </c>
      <c r="G243" s="31">
        <v>38.53</v>
      </c>
      <c r="H243" s="60">
        <v>38.53</v>
      </c>
    </row>
    <row r="244" spans="2:8" ht="16.5" hidden="1" customHeight="1" x14ac:dyDescent="0.2">
      <c r="B244" s="22" t="s">
        <v>666</v>
      </c>
      <c r="C244" s="22" t="s">
        <v>171</v>
      </c>
      <c r="D244" s="5" t="s">
        <v>667</v>
      </c>
      <c r="E244" s="53">
        <v>34.300221163131177</v>
      </c>
      <c r="F244" s="26" t="s">
        <v>734</v>
      </c>
      <c r="G244" s="31" t="s">
        <v>732</v>
      </c>
      <c r="H244" s="60" t="s">
        <v>732</v>
      </c>
    </row>
    <row r="245" spans="2:8" ht="16.5" customHeight="1" x14ac:dyDescent="0.2">
      <c r="B245" s="22" t="s">
        <v>183</v>
      </c>
      <c r="C245" s="22" t="s">
        <v>171</v>
      </c>
      <c r="D245" s="5" t="s">
        <v>184</v>
      </c>
      <c r="E245" s="53">
        <v>74.650531103012185</v>
      </c>
      <c r="F245" s="26" t="s">
        <v>734</v>
      </c>
      <c r="G245" s="32">
        <v>74.650531103012185</v>
      </c>
      <c r="H245" s="60">
        <v>74.650000000000006</v>
      </c>
    </row>
    <row r="246" spans="2:8" ht="16.5" customHeight="1" x14ac:dyDescent="0.2">
      <c r="B246" s="22" t="s">
        <v>185</v>
      </c>
      <c r="C246" s="22" t="s">
        <v>171</v>
      </c>
      <c r="D246" s="5" t="s">
        <v>186</v>
      </c>
      <c r="E246" s="53">
        <v>128.95093916456409</v>
      </c>
      <c r="F246" s="26" t="s">
        <v>734</v>
      </c>
      <c r="G246" s="32">
        <v>128.95093916456409</v>
      </c>
      <c r="H246" s="60">
        <v>105</v>
      </c>
    </row>
    <row r="247" spans="2:8" ht="16.5" hidden="1" customHeight="1" x14ac:dyDescent="0.2">
      <c r="B247" s="22" t="s">
        <v>187</v>
      </c>
      <c r="C247" s="22" t="s">
        <v>171</v>
      </c>
      <c r="D247" s="5" t="s">
        <v>188</v>
      </c>
      <c r="E247" s="53">
        <v>56.489549263308731</v>
      </c>
      <c r="F247" s="26" t="s">
        <v>734</v>
      </c>
      <c r="G247" s="52" t="s">
        <v>732</v>
      </c>
      <c r="H247" s="60" t="s">
        <v>732</v>
      </c>
    </row>
    <row r="248" spans="2:8" ht="16.5" hidden="1" customHeight="1" x14ac:dyDescent="0.2">
      <c r="B248" s="22" t="s">
        <v>189</v>
      </c>
      <c r="C248" s="22" t="s">
        <v>171</v>
      </c>
      <c r="D248" s="5" t="s">
        <v>190</v>
      </c>
      <c r="E248" s="53">
        <v>44.350309939881015</v>
      </c>
      <c r="F248" s="26" t="s">
        <v>734</v>
      </c>
      <c r="G248" s="52" t="s">
        <v>732</v>
      </c>
      <c r="H248" s="60" t="s">
        <v>732</v>
      </c>
    </row>
    <row r="249" spans="2:8" ht="16.5" hidden="1" customHeight="1" x14ac:dyDescent="0.2">
      <c r="B249" s="22" t="s">
        <v>191</v>
      </c>
      <c r="C249" s="22" t="s">
        <v>171</v>
      </c>
      <c r="D249" s="5" t="s">
        <v>192</v>
      </c>
      <c r="E249" s="53">
        <v>66.900538890446384</v>
      </c>
      <c r="F249" s="26" t="s">
        <v>734</v>
      </c>
      <c r="G249" s="32">
        <v>66.900538890446384</v>
      </c>
      <c r="H249" s="60" t="s">
        <v>732</v>
      </c>
    </row>
    <row r="250" spans="2:8" ht="16.5" hidden="1" customHeight="1" x14ac:dyDescent="0.2">
      <c r="B250" s="22" t="s">
        <v>193</v>
      </c>
      <c r="C250" s="22" t="s">
        <v>171</v>
      </c>
      <c r="D250" s="5" t="s">
        <v>194</v>
      </c>
      <c r="E250" s="53">
        <v>74.30053266049903</v>
      </c>
      <c r="F250" s="26" t="s">
        <v>734</v>
      </c>
      <c r="G250" s="32">
        <v>74.30053266049903</v>
      </c>
      <c r="H250" s="60" t="s">
        <v>732</v>
      </c>
    </row>
    <row r="251" spans="2:8" ht="15.75" hidden="1" customHeight="1" x14ac:dyDescent="0.2">
      <c r="B251" s="22" t="s">
        <v>195</v>
      </c>
      <c r="C251" s="22" t="s">
        <v>171</v>
      </c>
      <c r="D251" s="5" t="s">
        <v>196</v>
      </c>
      <c r="E251" s="53">
        <v>76.875556801545031</v>
      </c>
      <c r="F251" s="26" t="s">
        <v>734</v>
      </c>
      <c r="G251" s="32">
        <v>76.875556801545031</v>
      </c>
      <c r="H251" s="60" t="s">
        <v>732</v>
      </c>
    </row>
    <row r="252" spans="2:8" ht="16.5" hidden="1" customHeight="1" x14ac:dyDescent="0.2">
      <c r="B252" s="22" t="s">
        <v>197</v>
      </c>
      <c r="C252" s="22" t="s">
        <v>171</v>
      </c>
      <c r="D252" s="5" t="s">
        <v>198</v>
      </c>
      <c r="E252" s="53">
        <v>76.875556801545031</v>
      </c>
      <c r="F252" s="26" t="s">
        <v>734</v>
      </c>
      <c r="G252" s="32">
        <v>76.875556801545002</v>
      </c>
      <c r="H252" s="60" t="s">
        <v>732</v>
      </c>
    </row>
    <row r="253" spans="2:8" ht="16.5" customHeight="1" x14ac:dyDescent="0.2">
      <c r="B253" s="22" t="s">
        <v>201</v>
      </c>
      <c r="C253" s="22" t="s">
        <v>171</v>
      </c>
      <c r="D253" s="5" t="s">
        <v>202</v>
      </c>
      <c r="E253" s="53">
        <v>86.275612871071246</v>
      </c>
      <c r="F253" s="26" t="s">
        <v>734</v>
      </c>
      <c r="G253" s="32">
        <v>86.275612871071246</v>
      </c>
      <c r="H253" s="60">
        <v>86.28</v>
      </c>
    </row>
    <row r="254" spans="2:8" ht="16.5" hidden="1" customHeight="1" x14ac:dyDescent="0.2">
      <c r="B254" s="22" t="s">
        <v>203</v>
      </c>
      <c r="C254" s="22" t="s">
        <v>171</v>
      </c>
      <c r="D254" s="5" t="s">
        <v>204</v>
      </c>
      <c r="E254" s="53">
        <v>132.85088621001154</v>
      </c>
      <c r="F254" s="26" t="s">
        <v>734</v>
      </c>
      <c r="G254" s="32">
        <v>132.85088621001154</v>
      </c>
      <c r="H254" s="60" t="s">
        <v>732</v>
      </c>
    </row>
    <row r="255" spans="2:8" ht="16.5" hidden="1" customHeight="1" x14ac:dyDescent="0.2">
      <c r="B255" s="22" t="s">
        <v>205</v>
      </c>
      <c r="C255" s="22" t="s">
        <v>171</v>
      </c>
      <c r="D255" s="5" t="s">
        <v>206</v>
      </c>
      <c r="E255" s="53">
        <v>95.125689187926369</v>
      </c>
      <c r="F255" s="26" t="s">
        <v>734</v>
      </c>
      <c r="G255" s="32">
        <v>95.125689187926369</v>
      </c>
      <c r="H255" s="60" t="s">
        <v>732</v>
      </c>
    </row>
    <row r="256" spans="2:8" ht="16.5" hidden="1" customHeight="1" x14ac:dyDescent="0.2">
      <c r="B256" s="22" t="s">
        <v>207</v>
      </c>
      <c r="C256" s="22" t="s">
        <v>171</v>
      </c>
      <c r="D256" s="5" t="s">
        <v>208</v>
      </c>
      <c r="E256" s="53">
        <v>220.70551038843723</v>
      </c>
      <c r="F256" s="26" t="s">
        <v>734</v>
      </c>
      <c r="G256" s="31" t="s">
        <v>732</v>
      </c>
      <c r="H256" s="60" t="s">
        <v>732</v>
      </c>
    </row>
    <row r="257" spans="2:8" ht="16.5" hidden="1" customHeight="1" x14ac:dyDescent="0.2">
      <c r="B257" s="22" t="s">
        <v>209</v>
      </c>
      <c r="C257" s="22" t="s">
        <v>171</v>
      </c>
      <c r="D257" s="5" t="s">
        <v>210</v>
      </c>
      <c r="E257" s="53">
        <v>141.10101859639289</v>
      </c>
      <c r="F257" s="26" t="s">
        <v>734</v>
      </c>
      <c r="G257" s="31" t="s">
        <v>732</v>
      </c>
      <c r="H257" s="60" t="s">
        <v>732</v>
      </c>
    </row>
    <row r="258" spans="2:8" ht="16.5" hidden="1" customHeight="1" x14ac:dyDescent="0.2">
      <c r="B258" s="22" t="s">
        <v>211</v>
      </c>
      <c r="C258" s="22" t="s">
        <v>171</v>
      </c>
      <c r="D258" s="5" t="s">
        <v>212</v>
      </c>
      <c r="E258" s="53">
        <v>111.65074915116968</v>
      </c>
      <c r="F258" s="26" t="s">
        <v>734</v>
      </c>
      <c r="G258" s="31" t="s">
        <v>732</v>
      </c>
      <c r="H258" s="60" t="s">
        <v>732</v>
      </c>
    </row>
    <row r="259" spans="2:8" ht="16.5" hidden="1" customHeight="1" x14ac:dyDescent="0.2">
      <c r="B259" s="22" t="s">
        <v>213</v>
      </c>
      <c r="C259" s="22" t="s">
        <v>171</v>
      </c>
      <c r="D259" s="5" t="s">
        <v>214</v>
      </c>
      <c r="E259" s="53">
        <v>175.57623898078063</v>
      </c>
      <c r="F259" s="26" t="s">
        <v>734</v>
      </c>
      <c r="G259" s="31" t="s">
        <v>732</v>
      </c>
      <c r="H259" s="60" t="s">
        <v>732</v>
      </c>
    </row>
    <row r="260" spans="2:8" ht="16.5" customHeight="1" x14ac:dyDescent="0.2">
      <c r="B260" s="22" t="s">
        <v>215</v>
      </c>
      <c r="C260" s="22" t="s">
        <v>171</v>
      </c>
      <c r="D260" s="5" t="s">
        <v>216</v>
      </c>
      <c r="E260" s="53">
        <v>19.225119147743204</v>
      </c>
      <c r="F260" s="26" t="s">
        <v>734</v>
      </c>
      <c r="G260" s="32">
        <v>19.225119147743204</v>
      </c>
      <c r="H260" s="60">
        <v>19.23</v>
      </c>
    </row>
    <row r="261" spans="2:8" ht="16.5" hidden="1" customHeight="1" x14ac:dyDescent="0.2">
      <c r="B261" s="22" t="s">
        <v>217</v>
      </c>
      <c r="C261" s="22" t="s">
        <v>171</v>
      </c>
      <c r="D261" s="5" t="s">
        <v>218</v>
      </c>
      <c r="E261" s="53">
        <v>108.45073669127497</v>
      </c>
      <c r="F261" s="26" t="s">
        <v>734</v>
      </c>
      <c r="G261" s="31" t="s">
        <v>732</v>
      </c>
      <c r="H261" s="60" t="s">
        <v>732</v>
      </c>
    </row>
    <row r="262" spans="2:8" ht="16.5" hidden="1" customHeight="1" x14ac:dyDescent="0.2">
      <c r="B262" s="22" t="s">
        <v>219</v>
      </c>
      <c r="C262" s="22" t="s">
        <v>171</v>
      </c>
      <c r="D262" s="5" t="s">
        <v>220</v>
      </c>
      <c r="E262" s="53">
        <v>143.70114942528735</v>
      </c>
      <c r="F262" s="26" t="s">
        <v>734</v>
      </c>
      <c r="G262" s="31" t="s">
        <v>732</v>
      </c>
      <c r="H262" s="60" t="s">
        <v>732</v>
      </c>
    </row>
    <row r="263" spans="2:8" ht="16.5" hidden="1" customHeight="1" x14ac:dyDescent="0.2">
      <c r="B263" s="22" t="s">
        <v>221</v>
      </c>
      <c r="C263" s="22" t="s">
        <v>171</v>
      </c>
      <c r="D263" s="5" t="s">
        <v>222</v>
      </c>
      <c r="E263" s="53">
        <v>66.900538890446384</v>
      </c>
      <c r="F263" s="26" t="s">
        <v>734</v>
      </c>
      <c r="G263" s="31" t="s">
        <v>732</v>
      </c>
      <c r="H263" s="60" t="s">
        <v>732</v>
      </c>
    </row>
    <row r="264" spans="2:8" ht="16.5" customHeight="1" x14ac:dyDescent="0.2">
      <c r="B264" s="22" t="s">
        <v>223</v>
      </c>
      <c r="C264" s="22" t="s">
        <v>171</v>
      </c>
      <c r="D264" s="5" t="s">
        <v>224</v>
      </c>
      <c r="E264" s="53">
        <v>83.618135376756072</v>
      </c>
      <c r="F264" s="26" t="s">
        <v>734</v>
      </c>
      <c r="G264" s="32">
        <v>83.618135376756072</v>
      </c>
      <c r="H264" s="60">
        <v>83.62</v>
      </c>
    </row>
    <row r="265" spans="2:8" ht="16.5" hidden="1" customHeight="1" x14ac:dyDescent="0.2">
      <c r="B265" s="22" t="s">
        <v>227</v>
      </c>
      <c r="C265" s="22" t="s">
        <v>171</v>
      </c>
      <c r="D265" s="5" t="s">
        <v>228</v>
      </c>
      <c r="E265" s="53">
        <v>212.95156215929975</v>
      </c>
      <c r="F265" s="26" t="s">
        <v>734</v>
      </c>
      <c r="G265" s="31" t="s">
        <v>732</v>
      </c>
      <c r="H265" s="60" t="s">
        <v>732</v>
      </c>
    </row>
    <row r="266" spans="2:8" ht="16.5" hidden="1" customHeight="1" x14ac:dyDescent="0.2">
      <c r="B266" s="22" t="s">
        <v>229</v>
      </c>
      <c r="C266" s="22" t="s">
        <v>171</v>
      </c>
      <c r="D266" s="5" t="s">
        <v>230</v>
      </c>
      <c r="E266" s="53">
        <v>75.671775223499367</v>
      </c>
      <c r="F266" s="26" t="s">
        <v>734</v>
      </c>
      <c r="G266" s="32">
        <v>75.671775223499367</v>
      </c>
      <c r="H266" s="60" t="s">
        <v>732</v>
      </c>
    </row>
    <row r="267" spans="2:8" ht="16.5" hidden="1" customHeight="1" x14ac:dyDescent="0.2">
      <c r="B267" s="22" t="s">
        <v>231</v>
      </c>
      <c r="C267" s="22" t="s">
        <v>171</v>
      </c>
      <c r="D267" s="5" t="s">
        <v>232</v>
      </c>
      <c r="E267" s="53">
        <v>62.750584057564716</v>
      </c>
      <c r="F267" s="26" t="s">
        <v>734</v>
      </c>
      <c r="G267" s="32">
        <v>62.750584057564716</v>
      </c>
      <c r="H267" s="60" t="s">
        <v>732</v>
      </c>
    </row>
    <row r="268" spans="2:8" ht="16.5" hidden="1" customHeight="1" x14ac:dyDescent="0.2">
      <c r="B268" s="22" t="s">
        <v>233</v>
      </c>
      <c r="C268" s="22" t="s">
        <v>171</v>
      </c>
      <c r="D268" s="5" t="s">
        <v>705</v>
      </c>
      <c r="E268" s="53">
        <v>69.250475033485969</v>
      </c>
      <c r="F268" s="26" t="s">
        <v>734</v>
      </c>
      <c r="G268" s="31" t="s">
        <v>732</v>
      </c>
      <c r="H268" s="60" t="s">
        <v>732</v>
      </c>
    </row>
    <row r="269" spans="2:8" ht="16.5" hidden="1" customHeight="1" x14ac:dyDescent="0.2">
      <c r="B269" s="22" t="s">
        <v>234</v>
      </c>
      <c r="C269" s="22" t="s">
        <v>171</v>
      </c>
      <c r="D269" s="5" t="s">
        <v>235</v>
      </c>
      <c r="E269" s="53">
        <v>105.65081145064326</v>
      </c>
      <c r="F269" s="26" t="s">
        <v>733</v>
      </c>
      <c r="G269" s="31" t="s">
        <v>732</v>
      </c>
      <c r="H269" s="60" t="s">
        <v>732</v>
      </c>
    </row>
    <row r="270" spans="2:8" ht="16.5" hidden="1" customHeight="1" x14ac:dyDescent="0.2">
      <c r="B270" s="22" t="s">
        <v>236</v>
      </c>
      <c r="C270" s="22" t="s">
        <v>171</v>
      </c>
      <c r="D270" s="5" t="s">
        <v>237</v>
      </c>
      <c r="E270" s="53">
        <v>97.318319160203103</v>
      </c>
      <c r="F270" s="26" t="s">
        <v>733</v>
      </c>
      <c r="G270" s="31" t="s">
        <v>732</v>
      </c>
      <c r="H270" s="60" t="s">
        <v>732</v>
      </c>
    </row>
    <row r="271" spans="2:8" ht="16.5" hidden="1" customHeight="1" x14ac:dyDescent="0.2">
      <c r="B271" s="22" t="s">
        <v>238</v>
      </c>
      <c r="C271" s="22" t="s">
        <v>171</v>
      </c>
      <c r="D271" s="5" t="s">
        <v>239</v>
      </c>
      <c r="E271" s="53">
        <v>144.26617450082546</v>
      </c>
      <c r="F271" s="26" t="s">
        <v>734</v>
      </c>
      <c r="G271" s="31" t="s">
        <v>732</v>
      </c>
      <c r="H271" s="60" t="s">
        <v>732</v>
      </c>
    </row>
    <row r="272" spans="2:8" ht="16.5" hidden="1" customHeight="1" x14ac:dyDescent="0.2">
      <c r="B272" s="22" t="s">
        <v>240</v>
      </c>
      <c r="C272" s="22" t="s">
        <v>171</v>
      </c>
      <c r="D272" s="5" t="s">
        <v>241</v>
      </c>
      <c r="E272" s="53">
        <v>398.47783696227771</v>
      </c>
      <c r="F272" s="26" t="s">
        <v>734</v>
      </c>
      <c r="G272" s="31" t="s">
        <v>732</v>
      </c>
      <c r="H272" s="60" t="s">
        <v>732</v>
      </c>
    </row>
    <row r="273" spans="2:8" ht="16.5" hidden="1" customHeight="1" x14ac:dyDescent="0.2">
      <c r="B273" s="22" t="s">
        <v>242</v>
      </c>
      <c r="C273" s="22" t="s">
        <v>171</v>
      </c>
      <c r="D273" s="5" t="s">
        <v>243</v>
      </c>
      <c r="E273" s="53">
        <v>46.847989284490552</v>
      </c>
      <c r="F273" s="26" t="s">
        <v>734</v>
      </c>
      <c r="G273" s="31" t="s">
        <v>732</v>
      </c>
      <c r="H273" s="60" t="s">
        <v>732</v>
      </c>
    </row>
    <row r="274" spans="2:8" ht="16.5" hidden="1" customHeight="1" x14ac:dyDescent="0.2">
      <c r="B274" s="22" t="s">
        <v>244</v>
      </c>
      <c r="C274" s="22" t="s">
        <v>171</v>
      </c>
      <c r="D274" s="5" t="s">
        <v>245</v>
      </c>
      <c r="E274" s="53">
        <v>177.00133943868175</v>
      </c>
      <c r="F274" s="26" t="s">
        <v>733</v>
      </c>
      <c r="G274" s="31" t="s">
        <v>732</v>
      </c>
      <c r="H274" s="60" t="s">
        <v>732</v>
      </c>
    </row>
    <row r="275" spans="2:8" ht="16.5" hidden="1" customHeight="1" x14ac:dyDescent="0.2">
      <c r="B275" s="22" t="s">
        <v>246</v>
      </c>
      <c r="C275" s="22" t="s">
        <v>171</v>
      </c>
      <c r="D275" s="5" t="s">
        <v>247</v>
      </c>
      <c r="E275" s="53">
        <v>69.600535775472707</v>
      </c>
      <c r="F275" s="26" t="s">
        <v>734</v>
      </c>
      <c r="G275" s="31" t="s">
        <v>732</v>
      </c>
      <c r="H275" s="60" t="s">
        <v>732</v>
      </c>
    </row>
    <row r="276" spans="2:8" ht="16.5" hidden="1" customHeight="1" x14ac:dyDescent="0.2">
      <c r="B276" s="22" t="s">
        <v>347</v>
      </c>
      <c r="C276" s="22" t="s">
        <v>144</v>
      </c>
      <c r="D276" s="5" t="s">
        <v>348</v>
      </c>
      <c r="E276" s="53">
        <v>8.1748434725726575</v>
      </c>
      <c r="F276" s="26" t="s">
        <v>730</v>
      </c>
      <c r="G276" s="31" t="s">
        <v>732</v>
      </c>
      <c r="H276" s="60" t="s">
        <v>732</v>
      </c>
    </row>
    <row r="277" spans="2:8" ht="16.5" hidden="1" customHeight="1" x14ac:dyDescent="0.2">
      <c r="B277" s="22" t="s">
        <v>142</v>
      </c>
      <c r="C277" s="22" t="s">
        <v>144</v>
      </c>
      <c r="D277" s="5" t="s">
        <v>143</v>
      </c>
      <c r="E277" s="53">
        <v>48.190979036227148</v>
      </c>
      <c r="F277" s="26" t="s">
        <v>734</v>
      </c>
      <c r="G277" s="31" t="s">
        <v>732</v>
      </c>
      <c r="H277" s="60" t="s">
        <v>732</v>
      </c>
    </row>
    <row r="278" spans="2:8" ht="16.5" hidden="1" customHeight="1" x14ac:dyDescent="0.2">
      <c r="B278" s="22" t="s">
        <v>145</v>
      </c>
      <c r="C278" s="22" t="s">
        <v>144</v>
      </c>
      <c r="D278" s="5" t="s">
        <v>146</v>
      </c>
      <c r="E278" s="53">
        <v>48.190979036227148</v>
      </c>
      <c r="F278" s="26" t="s">
        <v>734</v>
      </c>
      <c r="G278" s="31" t="s">
        <v>732</v>
      </c>
      <c r="H278" s="60" t="s">
        <v>732</v>
      </c>
    </row>
    <row r="279" spans="2:8" ht="16.5" hidden="1" customHeight="1" x14ac:dyDescent="0.2">
      <c r="B279" s="22" t="s">
        <v>147</v>
      </c>
      <c r="C279" s="22" t="s">
        <v>144</v>
      </c>
      <c r="D279" s="5" t="s">
        <v>148</v>
      </c>
      <c r="E279" s="53">
        <v>48.190979036227148</v>
      </c>
      <c r="F279" s="26" t="s">
        <v>734</v>
      </c>
      <c r="G279" s="31" t="s">
        <v>732</v>
      </c>
      <c r="H279" s="60" t="s">
        <v>732</v>
      </c>
    </row>
    <row r="280" spans="2:8" ht="16.5" customHeight="1" x14ac:dyDescent="0.2">
      <c r="B280" s="22" t="s">
        <v>550</v>
      </c>
      <c r="C280" s="22" t="s">
        <v>144</v>
      </c>
      <c r="D280" s="5" t="s">
        <v>551</v>
      </c>
      <c r="E280" s="53">
        <v>8.1748434725726575</v>
      </c>
      <c r="F280" s="26" t="s">
        <v>730</v>
      </c>
      <c r="G280" s="32">
        <v>8.1748434725726575</v>
      </c>
      <c r="H280" s="60">
        <v>8.1748434725726575</v>
      </c>
    </row>
    <row r="281" spans="2:8" ht="16.5" customHeight="1" x14ac:dyDescent="0.2">
      <c r="B281" s="22" t="s">
        <v>590</v>
      </c>
      <c r="C281" s="22" t="s">
        <v>144</v>
      </c>
      <c r="D281" s="5" t="s">
        <v>591</v>
      </c>
      <c r="E281" s="53">
        <v>8.1748434725726575</v>
      </c>
      <c r="F281" s="26" t="s">
        <v>730</v>
      </c>
      <c r="G281" s="32">
        <v>8.1748434725726575</v>
      </c>
      <c r="H281" s="60">
        <v>8.1748434725726575</v>
      </c>
    </row>
    <row r="282" spans="2:8" ht="16.5" hidden="1" customHeight="1" x14ac:dyDescent="0.2">
      <c r="B282" s="22" t="s">
        <v>664</v>
      </c>
      <c r="C282" s="22" t="s">
        <v>274</v>
      </c>
      <c r="D282" s="5" t="s">
        <v>665</v>
      </c>
      <c r="E282" s="53">
        <v>27.425225056848269</v>
      </c>
      <c r="F282" s="26">
        <v>15</v>
      </c>
      <c r="G282" s="31" t="s">
        <v>732</v>
      </c>
      <c r="H282" s="26" t="s">
        <v>732</v>
      </c>
    </row>
    <row r="283" spans="2:8" ht="16.5" hidden="1" customHeight="1" x14ac:dyDescent="0.2">
      <c r="B283" s="22" t="s">
        <v>674</v>
      </c>
      <c r="C283" s="22" t="s">
        <v>274</v>
      </c>
      <c r="D283" s="5" t="s">
        <v>675</v>
      </c>
      <c r="E283" s="53">
        <v>31.825249976637703</v>
      </c>
      <c r="F283" s="26">
        <v>15</v>
      </c>
      <c r="G283" s="31" t="s">
        <v>732</v>
      </c>
      <c r="H283" s="26" t="s">
        <v>732</v>
      </c>
    </row>
    <row r="284" spans="2:8" ht="16.5" hidden="1" customHeight="1" x14ac:dyDescent="0.2">
      <c r="B284" s="22" t="s">
        <v>272</v>
      </c>
      <c r="C284" s="22" t="s">
        <v>274</v>
      </c>
      <c r="D284" s="5" t="s">
        <v>273</v>
      </c>
      <c r="E284" s="53">
        <v>20.500140173815531</v>
      </c>
      <c r="F284" s="26">
        <v>15</v>
      </c>
      <c r="G284" s="31" t="s">
        <v>732</v>
      </c>
      <c r="H284" s="26" t="s">
        <v>732</v>
      </c>
    </row>
    <row r="285" spans="2:8" ht="16.5" hidden="1" customHeight="1" x14ac:dyDescent="0.2">
      <c r="B285" s="22" t="s">
        <v>630</v>
      </c>
      <c r="C285" s="22" t="s">
        <v>274</v>
      </c>
      <c r="D285" s="5" t="s">
        <v>631</v>
      </c>
      <c r="E285" s="53">
        <v>24.775192349624646</v>
      </c>
      <c r="F285" s="26">
        <v>15</v>
      </c>
      <c r="G285" s="31" t="s">
        <v>732</v>
      </c>
      <c r="H285" s="26" t="s">
        <v>732</v>
      </c>
    </row>
    <row r="286" spans="2:8" ht="16.5" hidden="1" customHeight="1" x14ac:dyDescent="0.2">
      <c r="B286" s="22" t="s">
        <v>349</v>
      </c>
      <c r="C286" s="22" t="s">
        <v>274</v>
      </c>
      <c r="D286" s="5" t="s">
        <v>350</v>
      </c>
      <c r="E286" s="53">
        <v>15.950098121670873</v>
      </c>
      <c r="F286" s="26" t="s">
        <v>733</v>
      </c>
      <c r="G286" s="31" t="s">
        <v>732</v>
      </c>
      <c r="H286" s="26" t="s">
        <v>733</v>
      </c>
    </row>
    <row r="287" spans="2:8" ht="16.5" customHeight="1" x14ac:dyDescent="0.2">
      <c r="B287" s="22" t="s">
        <v>391</v>
      </c>
      <c r="C287" s="22" t="s">
        <v>274</v>
      </c>
      <c r="D287" s="5" t="s">
        <v>392</v>
      </c>
      <c r="E287" s="53">
        <v>14.150079431828804</v>
      </c>
      <c r="F287" s="26" t="s">
        <v>730</v>
      </c>
      <c r="G287" s="32">
        <v>14.150079431828804</v>
      </c>
      <c r="H287" s="60">
        <v>14.150079431828804</v>
      </c>
    </row>
    <row r="288" spans="2:8" ht="16.5" customHeight="1" x14ac:dyDescent="0.2">
      <c r="B288" s="22" t="s">
        <v>393</v>
      </c>
      <c r="C288" s="22" t="s">
        <v>274</v>
      </c>
      <c r="D288" s="5" t="s">
        <v>394</v>
      </c>
      <c r="E288" s="53">
        <v>13.725072423138025</v>
      </c>
      <c r="F288" s="26" t="s">
        <v>730</v>
      </c>
      <c r="G288" s="32">
        <v>13.725072423138025</v>
      </c>
      <c r="H288" s="60">
        <v>13.725072423138025</v>
      </c>
    </row>
    <row r="289" spans="2:8" ht="16.5" customHeight="1" x14ac:dyDescent="0.2">
      <c r="B289" s="22" t="s">
        <v>466</v>
      </c>
      <c r="C289" s="22" t="s">
        <v>274</v>
      </c>
      <c r="D289" s="5" t="s">
        <v>467</v>
      </c>
      <c r="E289" s="53">
        <v>10.650095006697194</v>
      </c>
      <c r="F289" s="26" t="s">
        <v>730</v>
      </c>
      <c r="G289" s="32">
        <v>10.650095006697194</v>
      </c>
      <c r="H289" s="60">
        <v>10.650095006697194</v>
      </c>
    </row>
    <row r="290" spans="2:8" ht="16.5" hidden="1" customHeight="1" x14ac:dyDescent="0.2">
      <c r="B290" s="22" t="s">
        <v>464</v>
      </c>
      <c r="C290" s="22" t="s">
        <v>274</v>
      </c>
      <c r="D290" s="5" t="s">
        <v>465</v>
      </c>
      <c r="E290" s="53">
        <v>19.175154969940507</v>
      </c>
      <c r="F290" s="26" t="s">
        <v>733</v>
      </c>
      <c r="G290" s="31" t="s">
        <v>732</v>
      </c>
      <c r="H290" s="26" t="s">
        <v>733</v>
      </c>
    </row>
    <row r="291" spans="2:8" ht="16.5" hidden="1" customHeight="1" x14ac:dyDescent="0.2">
      <c r="B291" s="22" t="s">
        <v>492</v>
      </c>
      <c r="C291" s="22" t="s">
        <v>274</v>
      </c>
      <c r="D291" s="5" t="s">
        <v>493</v>
      </c>
      <c r="E291" s="53">
        <v>51.675357443229608</v>
      </c>
      <c r="F291" s="26" t="s">
        <v>733</v>
      </c>
      <c r="G291" s="31" t="s">
        <v>732</v>
      </c>
      <c r="H291" s="26" t="s">
        <v>733</v>
      </c>
    </row>
    <row r="292" spans="2:8" ht="16.5" hidden="1" customHeight="1" x14ac:dyDescent="0.2">
      <c r="B292" s="22" t="s">
        <v>661</v>
      </c>
      <c r="C292" s="22" t="s">
        <v>274</v>
      </c>
      <c r="D292" s="5" t="s">
        <v>662</v>
      </c>
      <c r="E292" s="53">
        <v>7.475064635703828</v>
      </c>
      <c r="F292" s="26" t="s">
        <v>733</v>
      </c>
      <c r="G292" s="31" t="s">
        <v>732</v>
      </c>
      <c r="H292" s="26" t="s">
        <v>733</v>
      </c>
    </row>
    <row r="293" spans="2:8" ht="16.5" hidden="1" customHeight="1" x14ac:dyDescent="0.2">
      <c r="B293" s="22" t="s">
        <v>524</v>
      </c>
      <c r="C293" s="22" t="s">
        <v>274</v>
      </c>
      <c r="D293" s="5" t="s">
        <v>525</v>
      </c>
      <c r="E293" s="53">
        <v>9.950098121670873</v>
      </c>
      <c r="F293" s="26" t="s">
        <v>733</v>
      </c>
      <c r="G293" s="31" t="s">
        <v>732</v>
      </c>
      <c r="H293" s="26" t="s">
        <v>733</v>
      </c>
    </row>
    <row r="294" spans="2:8" ht="16.5" hidden="1" customHeight="1" x14ac:dyDescent="0.2">
      <c r="B294" s="22" t="s">
        <v>540</v>
      </c>
      <c r="C294" s="22" t="s">
        <v>274</v>
      </c>
      <c r="D294" s="5" t="s">
        <v>541</v>
      </c>
      <c r="E294" s="53">
        <v>31.825249976637703</v>
      </c>
      <c r="F294" s="26">
        <v>15</v>
      </c>
      <c r="G294" s="31" t="s">
        <v>732</v>
      </c>
      <c r="H294" s="26" t="s">
        <v>732</v>
      </c>
    </row>
    <row r="295" spans="2:8" ht="16.5" hidden="1" customHeight="1" x14ac:dyDescent="0.2">
      <c r="B295" s="22" t="s">
        <v>542</v>
      </c>
      <c r="C295" s="22" t="s">
        <v>274</v>
      </c>
      <c r="D295" s="5" t="s">
        <v>543</v>
      </c>
      <c r="E295" s="53">
        <v>31.825249976637703</v>
      </c>
      <c r="F295" s="26">
        <v>15</v>
      </c>
      <c r="G295" s="31" t="s">
        <v>732</v>
      </c>
      <c r="H295" s="26" t="s">
        <v>732</v>
      </c>
    </row>
    <row r="296" spans="2:8" ht="16.5" hidden="1" customHeight="1" x14ac:dyDescent="0.2">
      <c r="B296" s="22" t="s">
        <v>711</v>
      </c>
      <c r="C296" s="22" t="s">
        <v>274</v>
      </c>
      <c r="D296" s="5" t="s">
        <v>712</v>
      </c>
      <c r="E296" s="53">
        <v>107.87038594523877</v>
      </c>
      <c r="F296" s="26" t="s">
        <v>733</v>
      </c>
      <c r="G296" s="31" t="s">
        <v>732</v>
      </c>
      <c r="H296" s="26" t="s">
        <v>733</v>
      </c>
    </row>
    <row r="297" spans="2:8" ht="16.5" hidden="1" customHeight="1" x14ac:dyDescent="0.2">
      <c r="B297" s="22" t="s">
        <v>721</v>
      </c>
      <c r="C297" s="22" t="s">
        <v>274</v>
      </c>
      <c r="D297" s="5" t="s">
        <v>722</v>
      </c>
      <c r="E297" s="53">
        <v>28.475220384387754</v>
      </c>
      <c r="F297" s="26" t="s">
        <v>733</v>
      </c>
      <c r="G297" s="31" t="s">
        <v>732</v>
      </c>
      <c r="H297" s="26" t="s">
        <v>733</v>
      </c>
    </row>
    <row r="298" spans="2:8" ht="16.5" hidden="1" customHeight="1" x14ac:dyDescent="0.2">
      <c r="B298" s="22" t="s">
        <v>659</v>
      </c>
      <c r="C298" s="22" t="s">
        <v>274</v>
      </c>
      <c r="D298" s="5" t="s">
        <v>660</v>
      </c>
      <c r="E298" s="53">
        <v>12.875120705230042</v>
      </c>
      <c r="F298" s="26" t="s">
        <v>733</v>
      </c>
      <c r="G298" s="31" t="s">
        <v>732</v>
      </c>
      <c r="H298" s="26" t="s">
        <v>733</v>
      </c>
    </row>
    <row r="299" spans="2:8" ht="16.5" hidden="1" customHeight="1" x14ac:dyDescent="0.2">
      <c r="B299" s="22" t="s">
        <v>676</v>
      </c>
      <c r="C299" s="22" t="s">
        <v>274</v>
      </c>
      <c r="D299" s="5" t="s">
        <v>677</v>
      </c>
      <c r="E299" s="53">
        <v>44.250319284802046</v>
      </c>
      <c r="F299" s="26" t="s">
        <v>733</v>
      </c>
      <c r="G299" s="31" t="s">
        <v>732</v>
      </c>
      <c r="H299" s="26" t="s">
        <v>733</v>
      </c>
    </row>
    <row r="300" spans="2:8" ht="16.5" customHeight="1" x14ac:dyDescent="0.2">
      <c r="B300" s="22" t="s">
        <v>618</v>
      </c>
      <c r="C300" s="22" t="s">
        <v>274</v>
      </c>
      <c r="D300" s="5" t="s">
        <v>619</v>
      </c>
      <c r="E300" s="53">
        <v>7.2750210260723307</v>
      </c>
      <c r="F300" s="26" t="s">
        <v>730</v>
      </c>
      <c r="G300" s="32">
        <v>7.2750210260723307</v>
      </c>
      <c r="H300" s="60">
        <v>7.28</v>
      </c>
    </row>
    <row r="301" spans="2:8" ht="16.5" hidden="1" customHeight="1" x14ac:dyDescent="0.2">
      <c r="B301" s="22" t="s">
        <v>620</v>
      </c>
      <c r="C301" s="22" t="s">
        <v>274</v>
      </c>
      <c r="D301" s="5" t="s">
        <v>621</v>
      </c>
      <c r="E301" s="53">
        <v>11.125066193190669</v>
      </c>
      <c r="F301" s="26" t="s">
        <v>733</v>
      </c>
      <c r="G301" s="31" t="s">
        <v>732</v>
      </c>
      <c r="H301" s="26" t="s">
        <v>733</v>
      </c>
    </row>
    <row r="302" spans="2:8" ht="16.5" hidden="1" customHeight="1" x14ac:dyDescent="0.2">
      <c r="B302" s="22" t="s">
        <v>389</v>
      </c>
      <c r="C302" s="22" t="s">
        <v>151</v>
      </c>
      <c r="D302" s="5" t="s">
        <v>390</v>
      </c>
      <c r="E302" s="53">
        <v>1.3500295922499455</v>
      </c>
      <c r="F302" s="26" t="s">
        <v>733</v>
      </c>
      <c r="G302" s="31" t="s">
        <v>732</v>
      </c>
      <c r="H302" s="26" t="s">
        <v>733</v>
      </c>
    </row>
    <row r="303" spans="2:8" ht="16.5" hidden="1" customHeight="1" x14ac:dyDescent="0.2">
      <c r="B303" s="22" t="s">
        <v>262</v>
      </c>
      <c r="C303" s="22" t="s">
        <v>151</v>
      </c>
      <c r="D303" s="5" t="s">
        <v>263</v>
      </c>
      <c r="E303" s="53">
        <v>1.3249852038750274</v>
      </c>
      <c r="F303" s="26" t="s">
        <v>733</v>
      </c>
      <c r="G303" s="31" t="s">
        <v>732</v>
      </c>
      <c r="H303" s="26" t="s">
        <v>733</v>
      </c>
    </row>
    <row r="304" spans="2:8" ht="16.5" hidden="1" customHeight="1" x14ac:dyDescent="0.2">
      <c r="B304" s="22" t="s">
        <v>455</v>
      </c>
      <c r="C304" s="22" t="s">
        <v>151</v>
      </c>
      <c r="D304" s="5" t="s">
        <v>456</v>
      </c>
      <c r="E304" s="53">
        <v>16.250132386381335</v>
      </c>
      <c r="F304" s="26">
        <v>9</v>
      </c>
      <c r="G304" s="31" t="s">
        <v>732</v>
      </c>
      <c r="H304" s="26" t="s">
        <v>732</v>
      </c>
    </row>
    <row r="305" spans="1:10" ht="16.5" hidden="1" customHeight="1" x14ac:dyDescent="0.2">
      <c r="B305" s="22" t="s">
        <v>490</v>
      </c>
      <c r="C305" s="22" t="s">
        <v>151</v>
      </c>
      <c r="D305" s="5" t="s">
        <v>491</v>
      </c>
      <c r="E305" s="53">
        <v>2.5750241410460082</v>
      </c>
      <c r="F305" s="26" t="s">
        <v>733</v>
      </c>
      <c r="G305" s="31" t="s">
        <v>732</v>
      </c>
      <c r="H305" s="26" t="s">
        <v>733</v>
      </c>
    </row>
    <row r="306" spans="1:10" ht="16.5" hidden="1" customHeight="1" x14ac:dyDescent="0.2">
      <c r="B306" s="22" t="s">
        <v>155</v>
      </c>
      <c r="C306" s="22" t="s">
        <v>151</v>
      </c>
      <c r="D306" s="5" t="s">
        <v>706</v>
      </c>
      <c r="E306" s="53">
        <v>2.325016353611812</v>
      </c>
      <c r="F306" s="26" t="s">
        <v>733</v>
      </c>
      <c r="G306" s="31" t="s">
        <v>732</v>
      </c>
      <c r="H306" s="26" t="s">
        <v>733</v>
      </c>
    </row>
    <row r="307" spans="1:10" ht="16.5" hidden="1" customHeight="1" x14ac:dyDescent="0.2">
      <c r="B307" s="22" t="s">
        <v>156</v>
      </c>
      <c r="C307" s="22" t="s">
        <v>151</v>
      </c>
      <c r="D307" s="5" t="s">
        <v>707</v>
      </c>
      <c r="E307" s="53">
        <v>3.2500389371709808</v>
      </c>
      <c r="F307" s="26" t="s">
        <v>733</v>
      </c>
      <c r="G307" s="31" t="s">
        <v>732</v>
      </c>
      <c r="H307" s="26" t="s">
        <v>733</v>
      </c>
    </row>
    <row r="308" spans="1:10" ht="16.5" hidden="1" customHeight="1" x14ac:dyDescent="0.2">
      <c r="B308" s="22" t="s">
        <v>154</v>
      </c>
      <c r="C308" s="22" t="s">
        <v>151</v>
      </c>
      <c r="D308" s="5" t="s">
        <v>708</v>
      </c>
      <c r="E308" s="53">
        <v>3.6750459458617577</v>
      </c>
      <c r="F308" s="26" t="s">
        <v>733</v>
      </c>
      <c r="G308" s="31" t="s">
        <v>732</v>
      </c>
      <c r="H308" s="26" t="s">
        <v>733</v>
      </c>
    </row>
    <row r="309" spans="1:10" ht="16.5" hidden="1" customHeight="1" x14ac:dyDescent="0.2">
      <c r="B309" s="22" t="s">
        <v>709</v>
      </c>
      <c r="C309" s="22" t="s">
        <v>151</v>
      </c>
      <c r="D309" s="5" t="s">
        <v>710</v>
      </c>
      <c r="E309" s="53">
        <v>4.5750241410460086</v>
      </c>
      <c r="F309" s="26" t="s">
        <v>733</v>
      </c>
      <c r="G309" s="31" t="s">
        <v>732</v>
      </c>
      <c r="H309" s="26" t="s">
        <v>733</v>
      </c>
    </row>
    <row r="310" spans="1:10" ht="16.5" hidden="1" customHeight="1" x14ac:dyDescent="0.2">
      <c r="B310" s="22" t="s">
        <v>149</v>
      </c>
      <c r="C310" s="22" t="s">
        <v>151</v>
      </c>
      <c r="D310" s="5" t="s">
        <v>150</v>
      </c>
      <c r="E310" s="53">
        <v>2.5750241410460082</v>
      </c>
      <c r="F310" s="26" t="s">
        <v>733</v>
      </c>
      <c r="G310" s="31" t="s">
        <v>732</v>
      </c>
      <c r="H310" s="26" t="s">
        <v>733</v>
      </c>
    </row>
    <row r="311" spans="1:10" ht="16.5" hidden="1" customHeight="1" x14ac:dyDescent="0.2">
      <c r="B311" s="22" t="s">
        <v>152</v>
      </c>
      <c r="C311" s="22" t="s">
        <v>151</v>
      </c>
      <c r="D311" s="5" t="s">
        <v>153</v>
      </c>
      <c r="E311" s="53">
        <v>12.875120705230042</v>
      </c>
      <c r="F311" s="26" t="s">
        <v>733</v>
      </c>
      <c r="G311" s="31" t="s">
        <v>732</v>
      </c>
      <c r="H311" s="26" t="s">
        <v>733</v>
      </c>
    </row>
    <row r="312" spans="1:10" ht="16.5" hidden="1" customHeight="1" x14ac:dyDescent="0.2">
      <c r="B312" s="22" t="s">
        <v>159</v>
      </c>
      <c r="C312" s="22" t="s">
        <v>151</v>
      </c>
      <c r="D312" s="5" t="s">
        <v>160</v>
      </c>
      <c r="E312" s="53">
        <v>7.725072423138025</v>
      </c>
      <c r="F312" s="26" t="s">
        <v>733</v>
      </c>
      <c r="G312" s="31" t="s">
        <v>732</v>
      </c>
      <c r="H312" s="26" t="s">
        <v>733</v>
      </c>
    </row>
    <row r="313" spans="1:10" ht="16.5" hidden="1" customHeight="1" x14ac:dyDescent="0.2">
      <c r="B313" s="22" t="s">
        <v>161</v>
      </c>
      <c r="C313" s="22" t="s">
        <v>151</v>
      </c>
      <c r="D313" s="5" t="s">
        <v>162</v>
      </c>
      <c r="E313" s="53">
        <v>10.300096564184033</v>
      </c>
      <c r="F313" s="26" t="s">
        <v>733</v>
      </c>
      <c r="G313" s="31" t="s">
        <v>732</v>
      </c>
      <c r="H313" s="26" t="s">
        <v>733</v>
      </c>
    </row>
    <row r="314" spans="1:10" s="19" customFormat="1" ht="16.5" hidden="1" customHeight="1" x14ac:dyDescent="0.2">
      <c r="A314" s="18"/>
      <c r="B314" s="24" t="s">
        <v>163</v>
      </c>
      <c r="C314" s="24" t="s">
        <v>151</v>
      </c>
      <c r="D314" s="5" t="s">
        <v>164</v>
      </c>
      <c r="E314" s="54">
        <v>12.875120705230042</v>
      </c>
      <c r="F314" s="26" t="s">
        <v>733</v>
      </c>
      <c r="G314" s="31" t="s">
        <v>732</v>
      </c>
      <c r="H314" s="26" t="s">
        <v>733</v>
      </c>
      <c r="J314" s="50"/>
    </row>
    <row r="315" spans="1:10" ht="16.5" hidden="1" customHeight="1" x14ac:dyDescent="0.2">
      <c r="B315" s="22" t="s">
        <v>165</v>
      </c>
      <c r="C315" s="22" t="s">
        <v>151</v>
      </c>
      <c r="D315" s="5" t="s">
        <v>166</v>
      </c>
      <c r="E315" s="53">
        <v>15.45014484627605</v>
      </c>
      <c r="F315" s="26" t="s">
        <v>733</v>
      </c>
      <c r="G315" s="31" t="s">
        <v>732</v>
      </c>
      <c r="H315" s="26" t="s">
        <v>733</v>
      </c>
    </row>
    <row r="316" spans="1:10" ht="16.5" hidden="1" customHeight="1" x14ac:dyDescent="0.2">
      <c r="B316" s="22" t="s">
        <v>167</v>
      </c>
      <c r="C316" s="22" t="s">
        <v>151</v>
      </c>
      <c r="D316" s="5" t="s">
        <v>168</v>
      </c>
      <c r="E316" s="53">
        <v>18.025168987322058</v>
      </c>
      <c r="F316" s="26" t="s">
        <v>733</v>
      </c>
      <c r="G316" s="31" t="s">
        <v>732</v>
      </c>
      <c r="H316" s="26" t="s">
        <v>733</v>
      </c>
    </row>
    <row r="317" spans="1:10" ht="16.5" hidden="1" customHeight="1" x14ac:dyDescent="0.2">
      <c r="B317" s="22" t="s">
        <v>157</v>
      </c>
      <c r="C317" s="22" t="s">
        <v>151</v>
      </c>
      <c r="D317" s="5" t="s">
        <v>158</v>
      </c>
      <c r="E317" s="53">
        <v>33.790486870385948</v>
      </c>
      <c r="F317" s="26" t="s">
        <v>733</v>
      </c>
      <c r="G317" s="31" t="s">
        <v>732</v>
      </c>
      <c r="H317" s="26" t="s">
        <v>733</v>
      </c>
    </row>
    <row r="318" spans="1:10" ht="16.5" hidden="1" customHeight="1" x14ac:dyDescent="0.2">
      <c r="B318" s="22" t="s">
        <v>526</v>
      </c>
      <c r="C318" s="22" t="s">
        <v>151</v>
      </c>
      <c r="D318" s="5" t="s">
        <v>527</v>
      </c>
      <c r="E318" s="53">
        <v>0.25000778743419622</v>
      </c>
      <c r="F318" s="26" t="s">
        <v>733</v>
      </c>
      <c r="G318" s="31" t="s">
        <v>732</v>
      </c>
      <c r="H318" s="26" t="s">
        <v>733</v>
      </c>
    </row>
    <row r="319" spans="1:10" ht="16.5" hidden="1" customHeight="1" x14ac:dyDescent="0.2">
      <c r="B319" s="22" t="s">
        <v>528</v>
      </c>
      <c r="C319" s="22" t="s">
        <v>151</v>
      </c>
      <c r="D319" s="5" t="s">
        <v>529</v>
      </c>
      <c r="E319" s="53">
        <v>1.250038937170981</v>
      </c>
      <c r="F319" s="26" t="s">
        <v>733</v>
      </c>
      <c r="G319" s="31" t="s">
        <v>732</v>
      </c>
      <c r="H319" s="26" t="s">
        <v>733</v>
      </c>
    </row>
    <row r="320" spans="1:10" ht="16.5" hidden="1" customHeight="1" x14ac:dyDescent="0.2">
      <c r="B320" s="22" t="s">
        <v>530</v>
      </c>
      <c r="C320" s="22" t="s">
        <v>151</v>
      </c>
      <c r="D320" s="5" t="s">
        <v>531</v>
      </c>
      <c r="E320" s="53">
        <v>3.3500295922499457</v>
      </c>
      <c r="F320" s="26" t="s">
        <v>733</v>
      </c>
      <c r="G320" s="31" t="s">
        <v>732</v>
      </c>
      <c r="H320" s="26" t="s">
        <v>733</v>
      </c>
    </row>
    <row r="321" spans="2:8" ht="16.5" hidden="1" customHeight="1" x14ac:dyDescent="0.2">
      <c r="B321" s="22" t="s">
        <v>640</v>
      </c>
      <c r="C321" s="22" t="s">
        <v>151</v>
      </c>
      <c r="D321" s="5" t="s">
        <v>641</v>
      </c>
      <c r="E321" s="53">
        <v>5.9000716443946049</v>
      </c>
      <c r="F321" s="26" t="s">
        <v>733</v>
      </c>
      <c r="G321" s="31" t="s">
        <v>732</v>
      </c>
      <c r="H321" s="26" t="s">
        <v>733</v>
      </c>
    </row>
  </sheetData>
  <mergeCells count="4">
    <mergeCell ref="B6:C6"/>
    <mergeCell ref="B7:C7"/>
    <mergeCell ref="B8:E8"/>
    <mergeCell ref="B9:E9"/>
  </mergeCells>
  <pageMargins left="0.7" right="0.7" top="0.75" bottom="0.75" header="0.3" footer="0.3"/>
  <pageSetup scale="73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74"/>
  <sheetViews>
    <sheetView showGridLines="0" topLeftCell="A4" workbookViewId="0">
      <selection activeCell="I58" sqref="I58"/>
    </sheetView>
  </sheetViews>
  <sheetFormatPr baseColWidth="10" defaultRowHeight="15" x14ac:dyDescent="0.25"/>
  <cols>
    <col min="1" max="1" width="34.85546875" bestFit="1" customWidth="1"/>
    <col min="2" max="2" width="9.85546875" customWidth="1"/>
    <col min="3" max="3" width="12.5703125" customWidth="1"/>
    <col min="4" max="4" width="32.7109375" bestFit="1" customWidth="1"/>
    <col min="5" max="5" width="9.7109375" customWidth="1"/>
    <col min="6" max="6" width="11" customWidth="1"/>
    <col min="7" max="7" width="34.85546875" bestFit="1" customWidth="1"/>
    <col min="9" max="9" width="22" bestFit="1" customWidth="1"/>
  </cols>
  <sheetData>
    <row r="6" spans="1:7" x14ac:dyDescent="0.25">
      <c r="A6" s="57"/>
      <c r="B6" s="57"/>
    </row>
    <row r="7" spans="1:7" x14ac:dyDescent="0.25">
      <c r="A7" s="41" t="s">
        <v>678</v>
      </c>
    </row>
    <row r="8" spans="1:7" x14ac:dyDescent="0.25">
      <c r="A8" s="41" t="s">
        <v>729</v>
      </c>
    </row>
    <row r="9" spans="1:7" x14ac:dyDescent="0.25">
      <c r="A9" s="42" t="str">
        <f>APS!B9</f>
        <v>REVISIÓN TRIMESTRAL</v>
      </c>
    </row>
    <row r="10" spans="1:7" ht="15.75" thickBot="1" x14ac:dyDescent="0.3"/>
    <row r="11" spans="1:7" ht="16.5" thickBot="1" x14ac:dyDescent="0.3">
      <c r="A11" s="36" t="s">
        <v>805</v>
      </c>
      <c r="B11" s="43"/>
      <c r="C11" s="43"/>
      <c r="D11" s="36" t="s">
        <v>801</v>
      </c>
      <c r="E11" s="43"/>
      <c r="F11" s="44"/>
      <c r="G11" s="36" t="s">
        <v>790</v>
      </c>
    </row>
    <row r="12" spans="1:7" x14ac:dyDescent="0.25">
      <c r="A12" s="34" t="s">
        <v>746</v>
      </c>
      <c r="D12" s="34" t="s">
        <v>746</v>
      </c>
      <c r="G12" s="34" t="s">
        <v>791</v>
      </c>
    </row>
    <row r="13" spans="1:7" x14ac:dyDescent="0.25">
      <c r="A13" s="34" t="s">
        <v>759</v>
      </c>
      <c r="D13" s="34" t="s">
        <v>773</v>
      </c>
      <c r="G13" s="34" t="s">
        <v>792</v>
      </c>
    </row>
    <row r="14" spans="1:7" ht="15.75" thickBot="1" x14ac:dyDescent="0.3">
      <c r="A14" s="34" t="s">
        <v>773</v>
      </c>
      <c r="D14" s="34" t="s">
        <v>774</v>
      </c>
      <c r="G14" s="35" t="s">
        <v>793</v>
      </c>
    </row>
    <row r="15" spans="1:7" ht="15.75" thickBot="1" x14ac:dyDescent="0.3">
      <c r="A15" s="34" t="s">
        <v>774</v>
      </c>
      <c r="D15" s="34" t="s">
        <v>759</v>
      </c>
      <c r="G15" s="45"/>
    </row>
    <row r="16" spans="1:7" ht="16.5" thickBot="1" x14ac:dyDescent="0.3">
      <c r="A16" s="34" t="s">
        <v>799</v>
      </c>
      <c r="D16" s="34" t="s">
        <v>787</v>
      </c>
      <c r="G16" s="36" t="s">
        <v>794</v>
      </c>
    </row>
    <row r="17" spans="1:7" x14ac:dyDescent="0.25">
      <c r="A17" s="34" t="s">
        <v>747</v>
      </c>
      <c r="D17" s="34" t="s">
        <v>802</v>
      </c>
      <c r="G17" s="34" t="s">
        <v>795</v>
      </c>
    </row>
    <row r="18" spans="1:7" x14ac:dyDescent="0.25">
      <c r="A18" s="34" t="s">
        <v>761</v>
      </c>
      <c r="D18" s="34" t="s">
        <v>803</v>
      </c>
      <c r="G18" s="34" t="s">
        <v>796</v>
      </c>
    </row>
    <row r="19" spans="1:7" ht="15.75" thickBot="1" x14ac:dyDescent="0.3">
      <c r="A19" s="34" t="s">
        <v>756</v>
      </c>
      <c r="D19" s="34" t="s">
        <v>748</v>
      </c>
      <c r="G19" s="35" t="s">
        <v>797</v>
      </c>
    </row>
    <row r="20" spans="1:7" ht="15.75" thickBot="1" x14ac:dyDescent="0.3">
      <c r="A20" s="34" t="s">
        <v>757</v>
      </c>
      <c r="D20" s="34" t="s">
        <v>789</v>
      </c>
      <c r="G20" s="45"/>
    </row>
    <row r="21" spans="1:7" ht="16.5" thickBot="1" x14ac:dyDescent="0.3">
      <c r="A21" s="34" t="s">
        <v>758</v>
      </c>
      <c r="D21" s="35" t="s">
        <v>804</v>
      </c>
      <c r="G21" s="36" t="s">
        <v>763</v>
      </c>
    </row>
    <row r="22" spans="1:7" ht="15.75" thickBot="1" x14ac:dyDescent="0.3">
      <c r="A22" s="34" t="s">
        <v>760</v>
      </c>
      <c r="G22" s="34" t="s">
        <v>764</v>
      </c>
    </row>
    <row r="23" spans="1:7" ht="16.5" thickBot="1" x14ac:dyDescent="0.3">
      <c r="A23" s="34" t="s">
        <v>806</v>
      </c>
      <c r="D23" s="36" t="s">
        <v>745</v>
      </c>
      <c r="E23" s="38"/>
      <c r="G23" s="34" t="s">
        <v>765</v>
      </c>
    </row>
    <row r="24" spans="1:7" x14ac:dyDescent="0.25">
      <c r="A24" s="34" t="s">
        <v>748</v>
      </c>
      <c r="D24" s="34" t="s">
        <v>746</v>
      </c>
      <c r="G24" s="34" t="s">
        <v>766</v>
      </c>
    </row>
    <row r="25" spans="1:7" x14ac:dyDescent="0.25">
      <c r="A25" s="34" t="s">
        <v>750</v>
      </c>
      <c r="D25" s="34" t="s">
        <v>747</v>
      </c>
      <c r="G25" s="34" t="s">
        <v>767</v>
      </c>
    </row>
    <row r="26" spans="1:7" x14ac:dyDescent="0.25">
      <c r="A26" s="34" t="s">
        <v>751</v>
      </c>
      <c r="D26" s="34" t="s">
        <v>748</v>
      </c>
      <c r="G26" s="34" t="s">
        <v>768</v>
      </c>
    </row>
    <row r="27" spans="1:7" x14ac:dyDescent="0.25">
      <c r="A27" s="34" t="s">
        <v>789</v>
      </c>
      <c r="D27" s="34" t="s">
        <v>749</v>
      </c>
      <c r="G27" s="34" t="s">
        <v>769</v>
      </c>
    </row>
    <row r="28" spans="1:7" ht="15.75" thickBot="1" x14ac:dyDescent="0.3">
      <c r="A28" s="35" t="s">
        <v>800</v>
      </c>
      <c r="D28" s="34" t="s">
        <v>750</v>
      </c>
      <c r="G28" s="34" t="s">
        <v>770</v>
      </c>
    </row>
    <row r="29" spans="1:7" ht="15.75" thickBot="1" x14ac:dyDescent="0.3">
      <c r="A29" s="46"/>
      <c r="D29" s="34" t="s">
        <v>751</v>
      </c>
      <c r="G29" s="35" t="s">
        <v>771</v>
      </c>
    </row>
    <row r="30" spans="1:7" ht="16.5" thickBot="1" x14ac:dyDescent="0.3">
      <c r="A30" s="36" t="s">
        <v>798</v>
      </c>
      <c r="B30" s="38"/>
      <c r="C30" s="38"/>
      <c r="D30" s="34" t="s">
        <v>752</v>
      </c>
      <c r="G30" s="45"/>
    </row>
    <row r="31" spans="1:7" ht="15.75" thickBot="1" x14ac:dyDescent="0.3">
      <c r="A31" s="34" t="s">
        <v>799</v>
      </c>
      <c r="D31" s="34" t="s">
        <v>753</v>
      </c>
      <c r="G31" s="37" t="s">
        <v>811</v>
      </c>
    </row>
    <row r="32" spans="1:7" ht="15.75" thickBot="1" x14ac:dyDescent="0.3">
      <c r="A32" s="34" t="s">
        <v>749</v>
      </c>
      <c r="D32" s="35" t="s">
        <v>754</v>
      </c>
      <c r="G32" s="34" t="s">
        <v>697</v>
      </c>
    </row>
    <row r="33" spans="1:7" ht="15.75" thickBot="1" x14ac:dyDescent="0.3">
      <c r="A33" s="34" t="s">
        <v>773</v>
      </c>
      <c r="G33" s="34" t="s">
        <v>688</v>
      </c>
    </row>
    <row r="34" spans="1:7" ht="16.5" thickBot="1" x14ac:dyDescent="0.3">
      <c r="A34" s="34" t="s">
        <v>747</v>
      </c>
      <c r="D34" s="36" t="s">
        <v>772</v>
      </c>
      <c r="E34" s="38"/>
      <c r="G34" s="34" t="s">
        <v>340</v>
      </c>
    </row>
    <row r="35" spans="1:7" x14ac:dyDescent="0.25">
      <c r="A35" s="34" t="s">
        <v>761</v>
      </c>
      <c r="D35" s="34" t="s">
        <v>746</v>
      </c>
      <c r="G35" s="34" t="s">
        <v>812</v>
      </c>
    </row>
    <row r="36" spans="1:7" x14ac:dyDescent="0.25">
      <c r="A36" s="34" t="s">
        <v>774</v>
      </c>
      <c r="D36" s="34" t="s">
        <v>759</v>
      </c>
      <c r="G36" s="34" t="s">
        <v>812</v>
      </c>
    </row>
    <row r="37" spans="1:7" x14ac:dyDescent="0.25">
      <c r="A37" s="34" t="s">
        <v>759</v>
      </c>
      <c r="D37" s="34" t="s">
        <v>773</v>
      </c>
      <c r="G37" s="34" t="s">
        <v>523</v>
      </c>
    </row>
    <row r="38" spans="1:7" x14ac:dyDescent="0.25">
      <c r="A38" s="34" t="s">
        <v>746</v>
      </c>
      <c r="D38" s="34" t="s">
        <v>774</v>
      </c>
      <c r="G38" s="34" t="s">
        <v>298</v>
      </c>
    </row>
    <row r="39" spans="1:7" ht="15.75" thickBot="1" x14ac:dyDescent="0.3">
      <c r="A39" s="34" t="s">
        <v>748</v>
      </c>
      <c r="D39" s="35" t="s">
        <v>775</v>
      </c>
      <c r="G39" s="34" t="s">
        <v>813</v>
      </c>
    </row>
    <row r="40" spans="1:7" ht="15.75" thickBot="1" x14ac:dyDescent="0.3">
      <c r="A40" s="34" t="s">
        <v>750</v>
      </c>
      <c r="G40" s="34" t="s">
        <v>814</v>
      </c>
    </row>
    <row r="41" spans="1:7" ht="16.5" thickBot="1" x14ac:dyDescent="0.3">
      <c r="A41" s="34" t="s">
        <v>751</v>
      </c>
      <c r="D41" s="36" t="s">
        <v>755</v>
      </c>
      <c r="E41" s="38"/>
      <c r="G41" s="35" t="s">
        <v>815</v>
      </c>
    </row>
    <row r="42" spans="1:7" ht="15.75" thickBot="1" x14ac:dyDescent="0.3">
      <c r="A42" s="34" t="s">
        <v>800</v>
      </c>
      <c r="D42" s="34" t="s">
        <v>756</v>
      </c>
      <c r="G42" s="45"/>
    </row>
    <row r="43" spans="1:7" ht="16.5" thickBot="1" x14ac:dyDescent="0.3">
      <c r="A43" s="35" t="s">
        <v>789</v>
      </c>
      <c r="D43" s="34" t="s">
        <v>757</v>
      </c>
      <c r="G43" s="33" t="s">
        <v>738</v>
      </c>
    </row>
    <row r="44" spans="1:7" ht="15.75" thickBot="1" x14ac:dyDescent="0.3">
      <c r="A44" s="46"/>
      <c r="D44" s="34" t="s">
        <v>747</v>
      </c>
      <c r="G44" s="34" t="s">
        <v>739</v>
      </c>
    </row>
    <row r="45" spans="1:7" ht="16.5" thickBot="1" x14ac:dyDescent="0.3">
      <c r="A45" s="36" t="s">
        <v>785</v>
      </c>
      <c r="B45" s="38"/>
      <c r="C45" s="38"/>
      <c r="D45" s="34" t="s">
        <v>758</v>
      </c>
      <c r="G45" s="34" t="s">
        <v>740</v>
      </c>
    </row>
    <row r="46" spans="1:7" x14ac:dyDescent="0.25">
      <c r="A46" s="34" t="s">
        <v>746</v>
      </c>
      <c r="D46" s="34" t="s">
        <v>759</v>
      </c>
      <c r="G46" s="34" t="s">
        <v>741</v>
      </c>
    </row>
    <row r="47" spans="1:7" x14ac:dyDescent="0.25">
      <c r="A47" s="34" t="s">
        <v>759</v>
      </c>
      <c r="D47" s="34" t="s">
        <v>760</v>
      </c>
      <c r="G47" s="34" t="s">
        <v>742</v>
      </c>
    </row>
    <row r="48" spans="1:7" x14ac:dyDescent="0.25">
      <c r="A48" s="34" t="s">
        <v>773</v>
      </c>
      <c r="D48" s="34" t="s">
        <v>761</v>
      </c>
      <c r="G48" s="34" t="s">
        <v>743</v>
      </c>
    </row>
    <row r="49" spans="1:7" ht="15.75" thickBot="1" x14ac:dyDescent="0.3">
      <c r="A49" s="34" t="s">
        <v>774</v>
      </c>
      <c r="D49" s="35" t="s">
        <v>762</v>
      </c>
      <c r="G49" s="35" t="s">
        <v>744</v>
      </c>
    </row>
    <row r="50" spans="1:7" ht="15.75" thickBot="1" x14ac:dyDescent="0.3">
      <c r="A50" s="34" t="s">
        <v>786</v>
      </c>
      <c r="G50" s="45"/>
    </row>
    <row r="51" spans="1:7" ht="16.5" thickBot="1" x14ac:dyDescent="0.3">
      <c r="A51" s="34" t="s">
        <v>787</v>
      </c>
      <c r="D51" s="36" t="s">
        <v>776</v>
      </c>
      <c r="E51" s="38"/>
      <c r="G51" s="36" t="s">
        <v>807</v>
      </c>
    </row>
    <row r="52" spans="1:7" x14ac:dyDescent="0.25">
      <c r="A52" s="34" t="s">
        <v>788</v>
      </c>
      <c r="D52" s="34" t="s">
        <v>777</v>
      </c>
      <c r="G52" s="34" t="s">
        <v>746</v>
      </c>
    </row>
    <row r="53" spans="1:7" x14ac:dyDescent="0.25">
      <c r="A53" s="34" t="s">
        <v>768</v>
      </c>
      <c r="D53" s="34" t="s">
        <v>778</v>
      </c>
      <c r="G53" s="34" t="s">
        <v>773</v>
      </c>
    </row>
    <row r="54" spans="1:7" x14ac:dyDescent="0.25">
      <c r="A54" s="34" t="s">
        <v>770</v>
      </c>
      <c r="D54" s="34" t="s">
        <v>779</v>
      </c>
      <c r="G54" s="34" t="s">
        <v>808</v>
      </c>
    </row>
    <row r="55" spans="1:7" x14ac:dyDescent="0.25">
      <c r="A55" s="34" t="s">
        <v>789</v>
      </c>
      <c r="D55" s="34" t="s">
        <v>780</v>
      </c>
      <c r="G55" s="34" t="s">
        <v>774</v>
      </c>
    </row>
    <row r="56" spans="1:7" ht="15.75" thickBot="1" x14ac:dyDescent="0.3">
      <c r="A56" s="35" t="s">
        <v>740</v>
      </c>
      <c r="D56" s="34" t="s">
        <v>781</v>
      </c>
      <c r="G56" s="34" t="s">
        <v>775</v>
      </c>
    </row>
    <row r="57" spans="1:7" ht="15.75" thickBot="1" x14ac:dyDescent="0.3">
      <c r="A57" s="46"/>
      <c r="D57" s="35" t="s">
        <v>782</v>
      </c>
      <c r="G57" s="34" t="s">
        <v>809</v>
      </c>
    </row>
    <row r="58" spans="1:7" ht="16.5" thickBot="1" x14ac:dyDescent="0.3">
      <c r="A58" s="36" t="s">
        <v>783</v>
      </c>
      <c r="B58" s="38"/>
      <c r="C58" s="38"/>
      <c r="G58" s="34" t="s">
        <v>759</v>
      </c>
    </row>
    <row r="59" spans="1:7" ht="16.5" thickBot="1" x14ac:dyDescent="0.3">
      <c r="A59" s="34" t="s">
        <v>778</v>
      </c>
      <c r="D59" s="36" t="s">
        <v>816</v>
      </c>
      <c r="E59" s="38"/>
      <c r="G59" s="34" t="s">
        <v>810</v>
      </c>
    </row>
    <row r="60" spans="1:7" x14ac:dyDescent="0.25">
      <c r="A60" s="34" t="s">
        <v>779</v>
      </c>
      <c r="D60" s="34" t="s">
        <v>817</v>
      </c>
      <c r="G60" s="34" t="s">
        <v>802</v>
      </c>
    </row>
    <row r="61" spans="1:7" ht="15.75" thickBot="1" x14ac:dyDescent="0.3">
      <c r="A61" s="34" t="s">
        <v>781</v>
      </c>
      <c r="D61" s="34" t="s">
        <v>818</v>
      </c>
      <c r="G61" s="35" t="s">
        <v>803</v>
      </c>
    </row>
    <row r="62" spans="1:7" ht="15.75" thickBot="1" x14ac:dyDescent="0.3">
      <c r="A62" s="35" t="s">
        <v>784</v>
      </c>
      <c r="B62" s="47"/>
      <c r="C62" s="47"/>
      <c r="D62" s="35" t="s">
        <v>819</v>
      </c>
      <c r="E62" s="47"/>
      <c r="F62" s="47"/>
      <c r="G62" s="48"/>
    </row>
    <row r="66" spans="2:5" ht="15.75" x14ac:dyDescent="0.25">
      <c r="E66" s="40"/>
    </row>
    <row r="70" spans="2:5" x14ac:dyDescent="0.25">
      <c r="B70" s="39"/>
      <c r="C70" s="39"/>
    </row>
    <row r="74" spans="2:5" ht="15.75" x14ac:dyDescent="0.25">
      <c r="E74" s="38"/>
    </row>
  </sheetData>
  <mergeCells count="1"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APS</vt:lpstr>
      <vt:lpstr>LABORATORIO</vt:lpstr>
      <vt:lpstr>PERFILES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Laudimar Andrea Manaure Ibañez</dc:creator>
  <cp:lastModifiedBy>SOPORTE</cp:lastModifiedBy>
  <cp:lastPrinted>2026-03-19T14:34:46Z</cp:lastPrinted>
  <dcterms:created xsi:type="dcterms:W3CDTF">2024-09-05T13:45:53Z</dcterms:created>
  <dcterms:modified xsi:type="dcterms:W3CDTF">2026-03-20T18:24:02Z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2025-01-30T17:48:14Z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6c62e77a-dffd-47df-ac5b-5c74fd5dd458</vt:lpwstr>
  </property>
  <property fmtid="{D5CDD505-2E9C-101B-9397-08002B2CF9AE}" pid="8" name="MSIP_Label_d347b247-e90e-43a3-9d7b-004f14ae6873_ContentBits">
    <vt:lpwstr>0</vt:lpwstr>
  </property>
</Properties>
</file>